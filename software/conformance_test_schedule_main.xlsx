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43A3FB3F-6E6C-4C31-AF2A-5ABF998D4C80}" xr6:coauthVersionLast="47" xr6:coauthVersionMax="47" xr10:uidLastSave="{00000000-0000-0000-0000-000000000000}"/>
  <bookViews>
    <workbookView xWindow="38280" yWindow="-120" windowWidth="25440" windowHeight="15270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<sst xmlns="http://schemas.openxmlformats.org/spreadsheetml/2006/main" count="45" uniqueCount="29">
  <si>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</si>
  <si>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</si>
  <si>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</si>
  <si>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</si>
  <si>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</si>
  <si>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</si>
  <si>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</si>
  <si>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</si>
  <si>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</si>
  <si>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</si>
  <si>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</si>
  <si>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</si>
  <si>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</si>
  <si>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</si>
  <si>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</si>
  <si>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event</t>
  </si>
  <si>
    <t>run_normal</t>
  </si>
  <si>
    <t>unknown</t>
  </si>
  <si>
    <t>recovery</t>
  </si>
  <si>
    <t>end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</si>
  <si>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</si>
  <si>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</si>
  <si>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</si>
  <si>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</si>
  <si>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</si>
  <si>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</si>
  <si>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</si>
  <si>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</si>
  <si>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water_draw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</si>
</sst>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I18" sqref="I18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20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load_up_1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13</v>
      </c>
      <c r="G2" s="4">
        <v>20</v>
      </c>
      <c r="H2" s="4"/>
      <c r="I2" s="4"/>
      <c r="J2" s="2" t="str">
        <f>IFERROR(_xlfn.XLOOKUP(F2,'CTA Actions'!$A$2:$A$7,'CTA Actions'!$B$2:$B$7),"")</f>
        <v>3|6</v>
      </c>
      <c r="K2" s="4"/>
      <c r="L2" s="4"/>
      <c r="M2" s="4"/>
    </row>
    <row r="3" spans="1:13" x14ac:dyDescent="0.25">
      <c r="A3" s="4" t="b">
        <v>1</v>
      </c>
      <c r="B3" t="str">
        <f>IF(F3="","",IF(F3="end","test_end",F3&amp;"_"&amp;COUNTIF($F$2:F3,F3)))</f>
        <v>run_normal_1</v>
      </c>
      <c r="C3" s="3">
        <v>1.7361111111111112E-2</v>
      </c>
      <c r="D3" s="4" t="s">
        <v>15</v>
      </c>
      <c r="E3" t="str">
        <f t="shared" ref="E3:E66" si="0">IF(F3="","",IF(F3="water_draw","water_draw",IF(F3="end","test","cta")))</f>
        <v>cta</v>
      </c>
      <c r="F3" s="4" t="s">
        <v>16</v>
      </c>
      <c r="G3" s="4" t="s">
        <v>17</v>
      </c>
      <c r="H3" s="4"/>
      <c r="I3" s="4"/>
      <c r="J3" s="2" t="str">
        <f>IFERROR(_xlfn.XLOOKUP(F3,'CTA Actions'!$A$2:$A$7,'CTA Actions'!$B$2:$B$7),"")</f>
        <v>1|0</v>
      </c>
      <c r="K3" s="4"/>
      <c r="L3" s="4"/>
      <c r="M3" s="4"/>
    </row>
    <row r="4" spans="1:13" x14ac:dyDescent="0.25">
      <c r="A4" s="4" t="b">
        <v>1</v>
      </c>
      <c r="B4" t="str">
        <f>IF(F4="","",IF(F4="end","test_end",F4&amp;"_"&amp;COUNTIF($F$2:F4,F4)))</f>
        <v>test_end</v>
      </c>
      <c r="C4" s="3">
        <v>1.8749999999999999E-2</v>
      </c>
      <c r="D4" s="4" t="s">
        <v>18</v>
      </c>
      <c r="E4" t="str">
        <f t="shared" si="0"/>
        <v>test</v>
      </c>
      <c r="F4" s="4" t="s">
        <v>19</v>
      </c>
      <c r="G4" s="4"/>
      <c r="H4" s="4"/>
      <c r="I4" s="4"/>
      <c r="J4" s="2" t="str">
        <f>IFERROR(_xlfn.XLOOKUP(F4,'CTA Actions'!$A$2:$A$7,'CTA Actions'!$B$2:$B$7),"")</f>
        <v/>
      </c>
      <c r="K4" s="4"/>
      <c r="L4" s="4"/>
      <c r="M4" s="4"/>
    </row>
    <row r="5" spans="1:13" x14ac:dyDescent="0.25">
      <c r="A5" s="4" t="b">
        <v>0</v>
      </c>
      <c r="B5" t="str">
        <f>IF(F5="","",IF(F5="end","test_end",F5&amp;"_"&amp;COUNTIF($F$2:F5,F5)))</f>
        <v>water_draw_1</v>
      </c>
      <c r="C5" s="3">
        <v>0.10416666666666667</v>
      </c>
      <c r="D5" s="4" t="s">
        <v>15</v>
      </c>
      <c r="E5" t="str">
        <f t="shared" si="0"/>
        <v>water_draw</v>
      </c>
      <c r="F5" s="4" t="s">
        <v>28</v>
      </c>
      <c r="G5" s="4"/>
      <c r="H5" s="4"/>
      <c r="I5" s="4"/>
      <c r="J5" s="2" t="str">
        <f>IFERROR(_xlfn.XLOOKUP(F5,'CTA Actions'!$A$2:$A$7,'CTA Actions'!$B$2:$B$7),"")</f>
        <v/>
      </c>
      <c r="K5" s="4">
        <v>2</v>
      </c>
      <c r="L5" s="4">
        <v>3</v>
      </c>
      <c r="M5" s="4"/>
    </row>
    <row r="6" spans="1:13" x14ac:dyDescent="0.25">
      <c r="A6" s="4" t="b">
        <v>0</v>
      </c>
      <c r="B6" t="str">
        <f>IF(F6="","",IF(F6="end","test_end",F6&amp;"_"&amp;COUNTIF($F$2:F6,F6)))</f>
        <v>water_draw_2</v>
      </c>
      <c r="C6" s="3">
        <v>0.15277777777777779</v>
      </c>
      <c r="D6" s="4" t="s">
        <v>15</v>
      </c>
      <c r="E6" t="str">
        <f t="shared" si="0"/>
        <v>water_draw</v>
      </c>
      <c r="F6" s="4" t="s">
        <v>28</v>
      </c>
      <c r="G6" s="4"/>
      <c r="H6" s="4"/>
      <c r="I6" s="4"/>
      <c r="J6" s="2" t="str">
        <f>IFERROR(_xlfn.XLOOKUP(F6,'CTA Actions'!$A$2:$A$7,'CTA Actions'!$B$2:$B$7),"")</f>
        <v/>
      </c>
      <c r="K6" s="4">
        <v>9</v>
      </c>
      <c r="L6" s="4">
        <v>3</v>
      </c>
      <c r="M6" s="4"/>
    </row>
    <row r="7" spans="1:13" x14ac:dyDescent="0.25">
      <c r="A7" s="4" t="b">
        <v>0</v>
      </c>
      <c r="B7" t="str">
        <f>IF(F7="","",IF(F7="end","test_end",F7&amp;"_"&amp;COUNTIF($F$2:F7,F7)))</f>
        <v>load_up_2</v>
      </c>
      <c r="C7" s="3">
        <v>0.19444444444444445</v>
      </c>
      <c r="D7" s="4" t="s">
        <v>18</v>
      </c>
      <c r="E7" t="str">
        <f t="shared" si="0"/>
        <v>cta</v>
      </c>
      <c r="F7" s="4" t="s">
        <v>13</v>
      </c>
      <c r="G7" s="4" t="s">
        <v>17</v>
      </c>
      <c r="H7" s="4"/>
      <c r="I7" s="4"/>
      <c r="J7" s="2" t="str">
        <f>IFERROR(_xlfn.XLOOKUP(F7,'CTA Actions'!$A$2:$A$7,'CTA Actions'!$B$2:$B$7),"")</f>
        <v>3|6</v>
      </c>
      <c r="K7" s="4"/>
      <c r="L7" s="4"/>
      <c r="M7" s="4"/>
    </row>
    <row r="8" spans="1:13" x14ac:dyDescent="0.25">
      <c r="A8" s="4" t="b">
        <v>0</v>
      </c>
      <c r="B8" t="str">
        <f>IF(F8="","",IF(F8="end","test_end",F8&amp;"_"&amp;COUNTIF($F$2:F8,F8)))</f>
        <v>run_normal_2</v>
      </c>
      <c r="C8" s="3">
        <v>0.2361111111111111</v>
      </c>
      <c r="D8" s="4" t="s">
        <v>18</v>
      </c>
      <c r="E8" t="str">
        <f t="shared" si="0"/>
        <v>cta</v>
      </c>
      <c r="F8" s="4" t="s">
        <v>16</v>
      </c>
      <c r="G8" s="4" t="s">
        <v>17</v>
      </c>
      <c r="H8" s="4"/>
      <c r="I8" s="4"/>
      <c r="J8" s="2" t="str">
        <f>IFERROR(_xlfn.XLOOKUP(F8,'CTA Actions'!$A$2:$A$7,'CTA Actions'!$B$2:$B$7),"")</f>
        <v>1|0</v>
      </c>
      <c r="K8" s="4"/>
      <c r="L8" s="4"/>
      <c r="M8" s="4"/>
    </row>
    <row r="9" spans="1:13" x14ac:dyDescent="0.25">
      <c r="A9" s="4" t="b">
        <v>0</v>
      </c>
      <c r="B9" t="str">
        <f>IF(F9="","",IF(F9="end","test_end",F9&amp;"_"&amp;COUNTIF($F$2:F9,F9)))</f>
        <v/>
      </c>
      <c r="C9" s="3">
        <v>0.25</v>
      </c>
      <c r="D9" s="4" t="s">
        <v>18</v>
      </c>
      <c r="E9" t="str">
        <f t="shared" si="0"/>
        <v/>
      </c>
      <c r="F9" s="4"/>
      <c r="G9" s="4"/>
      <c r="H9" s="4"/>
      <c r="I9" s="4"/>
      <c r="J9" s="2" t="str">
        <f>IFERROR(_xlfn.XLOOKUP(F9,'CTA Actions'!$A$2:$A$7,'CTA Actions'!$B$2:$B$7),"")</f>
        <v/>
      </c>
      <c r="K9" s="4"/>
      <c r="L9" s="4"/>
      <c r="M9" s="4"/>
    </row>
    <row r="10" spans="1:13" x14ac:dyDescent="0.25">
      <c r="A10" s="4"/>
      <c r="B10" t="str">
        <f>IF(F10="","",IF(F10="end","test_end",F10&amp;"_"&amp;COUNTIF($F$2:F10,F10)))</f>
        <v/>
      </c>
      <c r="C10" s="3"/>
      <c r="D10" s="4"/>
      <c r="E10" t="str">
        <f t="shared" si="0"/>
        <v/>
      </c>
      <c r="F10" s="4"/>
      <c r="G10" s="4"/>
      <c r="H10" s="4"/>
      <c r="I10" s="4"/>
      <c r="J10" s="2" t="str">
        <f>IFERROR(_xlfn.XLOOKUP(F10,'CTA Actions'!$A$2:$A$7,'CTA Actions'!$B$2:$B$7),"")</f>
        <v/>
      </c>
      <c r="K10" s="4"/>
      <c r="L10" s="4"/>
      <c r="M10" s="4"/>
    </row>
    <row r="11" spans="1:13" x14ac:dyDescent="0.25">
      <c r="A11" s="4"/>
      <c r="B11" t="str">
        <f>IF(F11="","",IF(F11="end","test_end",F11&amp;"_"&amp;COUNTIF($F$2:F11,F11)))</f>
        <v/>
      </c>
      <c r="C11" s="3"/>
      <c r="D11" s="4"/>
      <c r="E11" t="str">
        <f t="shared" si="0"/>
        <v/>
      </c>
      <c r="F11" s="4"/>
      <c r="G11" s="4"/>
      <c r="H11" s="4"/>
      <c r="I11" s="4"/>
      <c r="J11" s="2" t="str">
        <f>IFERROR(_xlfn.XLOOKUP(F11,'CTA Actions'!$A$2:$A$7,'CTA Actions'!$B$2:$B$7),"")</f>
        <v/>
      </c>
      <c r="K11" s="4"/>
      <c r="L11" s="4"/>
      <c r="M11" s="4"/>
    </row>
    <row r="12" spans="1:13" x14ac:dyDescent="0.25">
      <c r="A12" s="4"/>
      <c r="B12" t="str">
        <f>IF(F12="","",IF(F12="end","test_end",F12&amp;"_"&amp;COUNTIF($F$2:F12,F12)))</f>
        <v/>
      </c>
      <c r="C12" s="3"/>
      <c r="D12" s="4"/>
      <c r="E12" t="str">
        <f t="shared" si="0"/>
        <v/>
      </c>
      <c r="F12" s="4"/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/>
    </row>
    <row r="13" spans="1:13" x14ac:dyDescent="0.25">
      <c r="A13" s="4"/>
      <c r="B13" t="str">
        <f>IF(F13="","",IF(F13="end","test_end",F13&amp;"_"&amp;COUNTIF($F$2:F13,F13)))</f>
        <v/>
      </c>
      <c r="C13" s="3"/>
      <c r="D13" s="4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D14" s="4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xWindow="167" yWindow="394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21</v>
      </c>
      <c r="B1" s="1" t="s">
        <v>8</v>
      </c>
    </row>
    <row r="2" spans="1:2" x14ac:dyDescent="0.25">
      <c r="A2" t="s">
        <v>22</v>
      </c>
      <c r="B2" t="s">
        <v>14</v>
      </c>
    </row>
    <row r="3" spans="1:2" x14ac:dyDescent="0.25">
      <c r="A3" t="s">
        <v>23</v>
      </c>
      <c r="B3" t="s">
        <v>26</v>
      </c>
    </row>
    <row r="4" spans="1:2" x14ac:dyDescent="0.25">
      <c r="A4" t="s">
        <v>24</v>
      </c>
      <c r="B4" t="s">
        <v>26</v>
      </c>
    </row>
    <row r="5" spans="1:2" x14ac:dyDescent="0.25">
      <c r="A5" t="s">
        <v>13</v>
      </c>
      <c r="B5" t="s">
        <v>14</v>
      </c>
    </row>
    <row r="6" spans="1:2" x14ac:dyDescent="0.25">
      <c r="A6" t="s">
        <v>16</v>
      </c>
      <c r="B6" t="s">
        <v>27</v>
      </c>
    </row>
    <row r="7" spans="1:2" x14ac:dyDescent="0.25">
      <c r="A7" t="s">
        <v>25</v>
      </c>
      <c r="B7" t="s">
        <v>26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2026-08-03T01:18:23Z</dcterms:modified>
</cp:coreProperties>
</file>