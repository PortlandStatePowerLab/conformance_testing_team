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929A2AB3-0AE2-4767-BA09-33AD3170E35C}" xr6:coauthVersionLast="47" xr6:coauthVersionMax="47" xr10:uidLastSave="{00000000-0000-0000-0000-000000000000}"/>
  <bookViews>
    <workbookView xWindow="38190" yWindow="1560" windowWidth="25410" windowHeight="11295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<sst xmlns="http://schemas.openxmlformats.org/spreadsheetml/2006/main" count="64" uniqueCount="30">
  <si>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</si>
  <si>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</si>
  <si>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</si>
  <si>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</si>
  <si>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</si>
  <si>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</si>
  <si>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</si>
  <si>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</si>
  <si>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</si>
  <si>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</si>
  <si>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</si>
  <si>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</si>
  <si>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</si>
  <si>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</si>
  <si>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</si>
  <si>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</si>
  <si>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</si>
  <si>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</si>
  <si>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</si>
  <si>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</si>
  <si>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</si>
  <si>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</si>
  <si>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</si>
  <si>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</si>
  <si>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</si>
  <si>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</si>
  <si>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</si>
  <si>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</si>
  <si>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</si>
  <si>
    <t>100_wh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</si>
</sst>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F18" sqref="F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4.8611111111111112E-3</v>
      </c>
      <c r="D3" s="4" t="s">
        <v>18</v>
      </c>
      <c r="E3" t="str">
        <f t="shared" ref="E3:E66" si="0">IF(F3="","",IF(F3="water_draw","water_draw",IF(F3="end","test","cta")))</f>
        <v>cta</v>
      </c>
      <c r="F3" s="4" t="s">
        <v>16</v>
      </c>
      <c r="G3" s="4" t="s">
        <v>17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shed_1</v>
      </c>
      <c r="C4" s="3">
        <v>6.2500000000000003E-3</v>
      </c>
      <c r="D4" s="4" t="s">
        <v>15</v>
      </c>
      <c r="E4" t="str">
        <f t="shared" si="0"/>
        <v>cta</v>
      </c>
      <c r="F4" s="4" t="s">
        <v>25</v>
      </c>
      <c r="G4" s="4" t="s">
        <v>17</v>
      </c>
      <c r="H4" s="4"/>
      <c r="I4" s="4"/>
      <c r="J4" s="2" t="str">
        <f>IFERROR(_xlfn.XLOOKUP(F4,'CTA Actions'!$A$2:$A$7,'CTA Actions'!$B$2:$B$7),"")</f>
        <v>2|4</v>
      </c>
      <c r="K4" s="4"/>
      <c r="L4" s="4"/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water_draw_1</v>
      </c>
      <c r="C5" s="3">
        <v>8.3333333333333332E-3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9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run_normal_2</v>
      </c>
      <c r="C6" s="3">
        <v>1.1111111111111112E-2</v>
      </c>
      <c r="D6" s="4" t="s">
        <v>18</v>
      </c>
      <c r="E6" t="str">
        <f t="shared" si="0"/>
        <v>cta</v>
      </c>
      <c r="F6" s="4" t="s">
        <v>16</v>
      </c>
      <c r="G6" s="4" t="s">
        <v>17</v>
      </c>
      <c r="H6" s="4"/>
      <c r="I6" s="4"/>
      <c r="J6" s="2" t="str">
        <f>IFERROR(_xlfn.XLOOKUP(F6,'CTA Actions'!$A$2:$A$7,'CTA Actions'!$B$2:$B$7),"")</f>
        <v>1|0</v>
      </c>
      <c r="K6" s="4"/>
      <c r="L6" s="4"/>
      <c r="M6" s="4"/>
    </row>
    <row r="7" spans="1:13" x14ac:dyDescent="0.25">
      <c r="A7" s="4" t="b">
        <v>1</v>
      </c>
      <c r="B7" t="str">
        <f>IF(F7="","",IF(F7="end","test_end",F7&amp;"_"&amp;COUNTIF($F$2:F7,F7)))</f>
        <v>critical_peak_1</v>
      </c>
      <c r="C7" s="3">
        <v>1.2500000000000001E-2</v>
      </c>
      <c r="D7" s="4" t="s">
        <v>15</v>
      </c>
      <c r="E7" t="str">
        <f t="shared" si="0"/>
        <v>cta</v>
      </c>
      <c r="F7" s="4" t="s">
        <v>23</v>
      </c>
      <c r="G7" s="4" t="s">
        <v>17</v>
      </c>
      <c r="H7" s="4"/>
      <c r="I7" s="4"/>
      <c r="J7" s="2" t="str">
        <f>IFERROR(_xlfn.XLOOKUP(F7,'CTA Actions'!$A$2:$A$7,'CTA Actions'!$B$2:$B$7),"")</f>
        <v>2|4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run_normal_3</v>
      </c>
      <c r="C8" s="3">
        <v>1.6666666666666666E-2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grid_emergency_1</v>
      </c>
      <c r="C9" s="3">
        <v>1.8055555555555554E-2</v>
      </c>
      <c r="D9" s="4" t="s">
        <v>15</v>
      </c>
      <c r="E9" t="str">
        <f t="shared" si="0"/>
        <v>cta</v>
      </c>
      <c r="F9" s="4" t="s">
        <v>24</v>
      </c>
      <c r="G9" s="4" t="s">
        <v>17</v>
      </c>
      <c r="H9" s="4"/>
      <c r="I9" s="4"/>
      <c r="J9" s="2" t="str">
        <f>IFERROR(_xlfn.XLOOKUP(F9,'CTA Actions'!$A$2:$A$7,'CTA Actions'!$B$2:$B$7),"")</f>
        <v>2|4</v>
      </c>
      <c r="K9" s="4"/>
      <c r="L9" s="4"/>
      <c r="M9" s="4"/>
    </row>
    <row r="10" spans="1:13" x14ac:dyDescent="0.25">
      <c r="A10" s="4" t="b">
        <v>1</v>
      </c>
      <c r="B10" t="str">
        <f>IF(F10="","",IF(F10="end","test_end",F10&amp;"_"&amp;COUNTIF($F$2:F10,F10)))</f>
        <v>run_normal_4</v>
      </c>
      <c r="C10" s="3">
        <v>2.0833333333333332E-2</v>
      </c>
      <c r="D10" s="4" t="s">
        <v>18</v>
      </c>
      <c r="E10" t="str">
        <f t="shared" si="0"/>
        <v>cta</v>
      </c>
      <c r="F10" s="4" t="s">
        <v>16</v>
      </c>
      <c r="G10" s="4" t="s">
        <v>17</v>
      </c>
      <c r="H10" s="4"/>
      <c r="I10" s="4"/>
      <c r="J10" s="2" t="str">
        <f>IFERROR(_xlfn.XLOOKUP(F10,'CTA Actions'!$A$2:$A$7,'CTA Actions'!$B$2:$B$7),"")</f>
        <v>1|0</v>
      </c>
      <c r="K10" s="4"/>
      <c r="L10" s="4"/>
      <c r="M10" s="4"/>
    </row>
    <row r="11" spans="1:13" x14ac:dyDescent="0.25">
      <c r="A11" s="4" t="b">
        <v>1</v>
      </c>
      <c r="B11" t="str">
        <f>IF(F11="","",IF(F11="end","test_end",F11&amp;"_"&amp;COUNTIF($F$2:F11,F11)))</f>
        <v>water_draw_2</v>
      </c>
      <c r="C11" s="3">
        <v>2.1527777777777778E-2</v>
      </c>
      <c r="D11" s="4" t="s">
        <v>15</v>
      </c>
      <c r="E11" t="str">
        <f t="shared" si="0"/>
        <v>water_draw</v>
      </c>
      <c r="F11" s="4" t="s">
        <v>28</v>
      </c>
      <c r="G11" s="4"/>
      <c r="H11" s="4"/>
      <c r="I11" s="4"/>
      <c r="J11" s="2" t="str">
        <f>IFERROR(_xlfn.XLOOKUP(F11,'CTA Actions'!$A$2:$A$7,'CTA Actions'!$B$2:$B$7),"")</f>
        <v/>
      </c>
      <c r="K11" s="4">
        <v>6</v>
      </c>
      <c r="L11" s="4">
        <v>3</v>
      </c>
      <c r="M11" s="4"/>
    </row>
    <row r="12" spans="1:13" x14ac:dyDescent="0.25">
      <c r="A12" s="4" t="b">
        <v>1</v>
      </c>
      <c r="B12" t="str">
        <f>IF(F12="","",IF(F12="end","test_end",F12&amp;"_"&amp;COUNTIF($F$2:F12,F12)))</f>
        <v>advanced_load_up_1</v>
      </c>
      <c r="C12" s="3">
        <v>2.361111111111111E-2</v>
      </c>
      <c r="D12" s="4" t="s">
        <v>15</v>
      </c>
      <c r="E12" t="str">
        <f t="shared" si="0"/>
        <v>cta</v>
      </c>
      <c r="F12" s="4" t="s">
        <v>22</v>
      </c>
      <c r="G12" s="4" t="s">
        <v>17</v>
      </c>
      <c r="H12" s="4">
        <v>5</v>
      </c>
      <c r="I12" s="4" t="s">
        <v>29</v>
      </c>
      <c r="J12" s="2" t="str">
        <f>IFERROR(_xlfn.XLOOKUP(F12,'CTA Actions'!$A$2:$A$7,'CTA Actions'!$B$2:$B$7),"")</f>
        <v>3|6</v>
      </c>
      <c r="K12" s="4"/>
      <c r="L12" s="4"/>
      <c r="M12" s="4"/>
    </row>
    <row r="13" spans="1:13" x14ac:dyDescent="0.25">
      <c r="A13" s="4" t="b">
        <v>1</v>
      </c>
      <c r="B13" t="str">
        <f>IF(F13="","",IF(F13="end","test_end",F13&amp;"_"&amp;COUNTIF($F$2:F13,F13)))</f>
        <v>run_normal_5</v>
      </c>
      <c r="C13" s="3">
        <v>2.7083333333333334E-2</v>
      </c>
      <c r="D13" s="4" t="s">
        <v>18</v>
      </c>
      <c r="E13" t="str">
        <f t="shared" si="0"/>
        <v>cta</v>
      </c>
      <c r="F13" s="4" t="s">
        <v>16</v>
      </c>
      <c r="G13" s="4" t="s">
        <v>17</v>
      </c>
      <c r="H13" s="4"/>
      <c r="I13" s="4"/>
      <c r="J13" s="2" t="str">
        <f>IFERROR(_xlfn.XLOOKUP(F13,'CTA Actions'!$A$2:$A$7,'CTA Actions'!$B$2:$B$7),"")</f>
        <v>1|0</v>
      </c>
      <c r="K13" s="4"/>
      <c r="L13" s="4"/>
      <c r="M13" s="4"/>
    </row>
    <row r="14" spans="1:13" x14ac:dyDescent="0.25">
      <c r="A14" s="4" t="b">
        <v>1</v>
      </c>
      <c r="B14" t="str">
        <f>IF(F14="","",IF(F14="end","test_end",F14&amp;"_"&amp;COUNTIF($F$2:F14,F14)))</f>
        <v>test_end</v>
      </c>
      <c r="C14" s="3">
        <v>2.7777777777777776E-2</v>
      </c>
      <c r="D14" s="4" t="s">
        <v>18</v>
      </c>
      <c r="E14" t="str">
        <f t="shared" si="0"/>
        <v>test</v>
      </c>
      <c r="F14" s="4" t="s">
        <v>19</v>
      </c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disablePrompts="1"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2026-07-30T20:05:13Z</dcterms:modified>
</cp:coreProperties>
</file>