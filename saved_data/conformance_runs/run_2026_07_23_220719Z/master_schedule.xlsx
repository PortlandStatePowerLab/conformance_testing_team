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rgra09-admin\Documents\myPythonFiles\Root\conformance_testing_team\software\"/>
    </mc:Choice>
  </mc:AlternateContent>
  <xr:revisionPtr revIDLastSave="0" documentId="13_ncr:1_{2DCB4A9E-0ACF-4777-B2DE-A9BE973D9EA9}" xr6:coauthVersionLast="47" xr6:coauthVersionMax="47" xr10:uidLastSave="{00000000-0000-0000-0000-000000000000}"/>
  <bookViews>
    <workbookView xWindow="3120" yWindow="3120" windowWidth="28800" windowHeight="11295" xr2:uid="{C8C0DF4B-6D5B-4BD3-847D-4558E3821A3D}"/>
  </bookViews>
  <sheets>
    <sheet name="conformance_test_schedule_main" sheetId="1" r:id="rId1"/>
    <sheet name="CTA Action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2" i="1"/>
</calcChain>
</file>

<file path=xl/sharedStrings.xml><?xml version="1.0" encoding="utf-8"?>
<sst xmlns="http://schemas.openxmlformats.org/spreadsheetml/2006/main" count="58" uniqueCount="35">
  <si>
    <t>enabled</t>
  </si>
  <si>
    <t>event_id</t>
  </si>
  <si>
    <t>time_after_start</t>
  </si>
  <si>
    <t>phase</t>
  </si>
  <si>
    <t>event_type</t>
  </si>
  <si>
    <t>action</t>
  </si>
  <si>
    <t>advanced_duration_minutes</t>
  </si>
  <si>
    <t>advanced_value</t>
  </si>
  <si>
    <t>advanced_units</t>
  </si>
  <si>
    <t>expected_operational_states</t>
  </si>
  <si>
    <t>target_volume_gal</t>
  </si>
  <si>
    <t>expected_flow_gpm</t>
  </si>
  <si>
    <t>notes</t>
  </si>
  <si>
    <t>pre_event</t>
  </si>
  <si>
    <t>load_up</t>
  </si>
  <si>
    <t>3|6</t>
  </si>
  <si>
    <t>Initial Load Up</t>
  </si>
  <si>
    <t>event</t>
  </si>
  <si>
    <t>run_normal</t>
  </si>
  <si>
    <t>unknown</t>
  </si>
  <si>
    <t>Return unit to normal</t>
  </si>
  <si>
    <t>recovery</t>
  </si>
  <si>
    <t>end</t>
  </si>
  <si>
    <t>End recovery period</t>
  </si>
  <si>
    <t>event_duration_minutes</t>
  </si>
  <si>
    <t>Event</t>
  </si>
  <si>
    <t>advanced_load_up</t>
  </si>
  <si>
    <t>critical_peak</t>
  </si>
  <si>
    <t>grid_emergency</t>
  </si>
  <si>
    <t>shed</t>
  </si>
  <si>
    <t>2|4</t>
  </si>
  <si>
    <t>1|0</t>
  </si>
  <si>
    <t>Critical peak event</t>
  </si>
  <si>
    <t>Shed event</t>
  </si>
  <si>
    <t>Grid emergency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</si>
</sst>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3BB7-E422-4C06-A3D6-AEB4D4A8EFB4}">
  <dimension ref="A1:N336"/>
  <sheetViews>
    <sheetView tabSelected="1" workbookViewId="0">
      <selection activeCell="H17" sqref="H17"/>
    </sheetView>
  </sheetViews>
  <sheetFormatPr defaultRowHeight="15" x14ac:dyDescent="0.25"/>
  <cols>
    <col min="1" max="1" width="10" bestFit="1" customWidth="1"/>
    <col min="2" max="3" width="15.42578125" bestFit="1" customWidth="1"/>
    <col min="4" max="4" width="9.28515625" bestFit="1" customWidth="1"/>
    <col min="5" max="5" width="11.140625" bestFit="1" customWidth="1"/>
    <col min="6" max="6" width="14.85546875" bestFit="1" customWidth="1"/>
    <col min="7" max="7" width="24.85546875" bestFit="1" customWidth="1"/>
    <col min="8" max="8" width="26.5703125" bestFit="1" customWidth="1"/>
    <col min="9" max="9" width="15.28515625" bestFit="1" customWidth="1"/>
    <col min="10" max="10" width="15" bestFit="1" customWidth="1"/>
    <col min="11" max="11" width="26.5703125" bestFit="1" customWidth="1"/>
    <col min="12" max="12" width="17" bestFit="1" customWidth="1"/>
    <col min="13" max="13" width="18.28515625" bestFit="1" customWidth="1"/>
    <col min="14" max="14" width="19.85546875" bestFit="1" customWidth="1"/>
    <col min="15" max="15" width="18.42578125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t="b">
        <v>1</v>
      </c>
      <c r="B2" t="str">
        <f>IF(F2="","",IF(F2="end","test_end",F2&amp;"_"&amp;COUNTIF($F$2:F2,F2)))</f>
        <v>load_up_1</v>
      </c>
      <c r="C2" s="1">
        <v>0</v>
      </c>
      <c r="D2" t="s">
        <v>13</v>
      </c>
      <c r="E2" t="str">
        <f>IF(F2="","",IF(F2="water_draw","water_draw",IF(F2="end","test","cta")))</f>
        <v>cta</v>
      </c>
      <c r="F2" t="s">
        <v>14</v>
      </c>
      <c r="G2">
        <v>5</v>
      </c>
      <c r="K2" s="3" t="str">
        <f>IFERROR(_xlfn.XLOOKUP(F2,'CTA Actions'!$A$2:$A$7,'CTA Actions'!$B$2:$B$7),"")</f>
        <v>3|6</v>
      </c>
      <c r="N2" t="s">
        <v>16</v>
      </c>
    </row>
    <row r="3" spans="1:14" x14ac:dyDescent="0.25">
      <c r="A3" t="b">
        <v>1</v>
      </c>
      <c r="B3" t="str">
        <f>IF(F3="","",IF(F3="end","test_end",F3&amp;"_"&amp;COUNTIF($F$2:F3,F3)))</f>
        <v>run_normal_1</v>
      </c>
      <c r="C3" s="1">
        <v>4.8611111111111112E-3</v>
      </c>
      <c r="D3" t="s">
        <v>17</v>
      </c>
      <c r="E3" t="str">
        <f t="shared" ref="E3:E66" si="0">IF(F3="","",IF(F3="water_draw","water_draw",IF(F3="end","test","cta")))</f>
        <v>cta</v>
      </c>
      <c r="F3" t="s">
        <v>18</v>
      </c>
      <c r="G3">
        <v>3</v>
      </c>
      <c r="K3" s="3" t="str">
        <f>IFERROR(_xlfn.XLOOKUP(F3,'CTA Actions'!$A$2:$A$7,'CTA Actions'!$B$2:$B$7),"")</f>
        <v>1|0</v>
      </c>
      <c r="N3" t="s">
        <v>20</v>
      </c>
    </row>
    <row r="4" spans="1:14" x14ac:dyDescent="0.25">
      <c r="A4" t="b">
        <v>1</v>
      </c>
      <c r="B4" t="str">
        <f>IF(F4="","",IF(F4="end","test_end",F4&amp;"_"&amp;COUNTIF($F$2:F4,F4)))</f>
        <v>critical_peak_1</v>
      </c>
      <c r="C4" s="1">
        <v>8.3333333333333332E-3</v>
      </c>
      <c r="D4" t="s">
        <v>17</v>
      </c>
      <c r="E4" t="str">
        <f t="shared" si="0"/>
        <v>cta</v>
      </c>
      <c r="F4" t="s">
        <v>27</v>
      </c>
      <c r="G4">
        <v>7</v>
      </c>
      <c r="K4" s="3" t="str">
        <f>IFERROR(_xlfn.XLOOKUP(F4,'CTA Actions'!$A$2:$A$7,'CTA Actions'!$B$2:$B$7),"")</f>
        <v>2|4</v>
      </c>
      <c r="N4" t="s">
        <v>32</v>
      </c>
    </row>
    <row r="5" spans="1:14" x14ac:dyDescent="0.25">
      <c r="A5" t="b">
        <v>1</v>
      </c>
      <c r="B5" t="str">
        <f>IF(F5="","",IF(F5="end","test_end",F5&amp;"_"&amp;COUNTIF($F$2:F5,F5)))</f>
        <v>run_normal_2</v>
      </c>
      <c r="C5" s="1">
        <v>1.5277777777777777E-2</v>
      </c>
      <c r="D5" t="s">
        <v>21</v>
      </c>
      <c r="E5" t="str">
        <f t="shared" si="0"/>
        <v>cta</v>
      </c>
      <c r="F5" t="s">
        <v>18</v>
      </c>
      <c r="G5" t="s">
        <v>19</v>
      </c>
      <c r="K5" s="3" t="str">
        <f>IFERROR(_xlfn.XLOOKUP(F5,'CTA Actions'!$A$2:$A$7,'CTA Actions'!$B$2:$B$7),"")</f>
        <v>1|0</v>
      </c>
      <c r="N5" t="s">
        <v>20</v>
      </c>
    </row>
    <row r="6" spans="1:14" x14ac:dyDescent="0.25">
      <c r="A6" t="b">
        <v>1</v>
      </c>
      <c r="B6" t="str">
        <f>IF(F6="","",IF(F6="end","test_end",F6&amp;"_"&amp;COUNTIF($F$2:F6,F6)))</f>
        <v>shed_1</v>
      </c>
      <c r="C6" s="1">
        <v>1.7361111111111112E-2</v>
      </c>
      <c r="D6" t="s">
        <v>17</v>
      </c>
      <c r="E6" t="str">
        <f t="shared" si="0"/>
        <v>cta</v>
      </c>
      <c r="F6" t="s">
        <v>29</v>
      </c>
      <c r="G6">
        <v>5</v>
      </c>
      <c r="K6" s="3" t="str">
        <f>IFERROR(_xlfn.XLOOKUP(F6,'CTA Actions'!$A$2:$A$7,'CTA Actions'!$B$2:$B$7),"")</f>
        <v>2|4</v>
      </c>
      <c r="N6" t="s">
        <v>33</v>
      </c>
    </row>
    <row r="7" spans="1:14" x14ac:dyDescent="0.25">
      <c r="A7" t="b">
        <v>1</v>
      </c>
      <c r="B7" t="str">
        <f>IF(F7="","",IF(F7="end","test_end",F7&amp;"_"&amp;COUNTIF($F$2:F7,F7)))</f>
        <v>run_normal_3</v>
      </c>
      <c r="C7" s="1">
        <v>2.4305555555555556E-2</v>
      </c>
      <c r="D7" t="s">
        <v>21</v>
      </c>
      <c r="E7" t="str">
        <f t="shared" si="0"/>
        <v>cta</v>
      </c>
      <c r="F7" t="s">
        <v>18</v>
      </c>
      <c r="G7" t="s">
        <v>19</v>
      </c>
      <c r="K7" s="3" t="str">
        <f>IFERROR(_xlfn.XLOOKUP(F7,'CTA Actions'!$A$2:$A$7,'CTA Actions'!$B$2:$B$7),"")</f>
        <v>1|0</v>
      </c>
      <c r="N7" t="s">
        <v>20</v>
      </c>
    </row>
    <row r="8" spans="1:14" x14ac:dyDescent="0.25">
      <c r="A8" t="b">
        <v>1</v>
      </c>
      <c r="B8" t="str">
        <f>IF(F8="","",IF(F8="end","test_end",F8&amp;"_"&amp;COUNTIF($F$2:F8,F8)))</f>
        <v>grid_emergency_1</v>
      </c>
      <c r="C8" s="1">
        <v>2.5694444444444443E-2</v>
      </c>
      <c r="D8" t="s">
        <v>17</v>
      </c>
      <c r="E8" t="str">
        <f t="shared" si="0"/>
        <v>cta</v>
      </c>
      <c r="F8" t="s">
        <v>28</v>
      </c>
      <c r="G8">
        <v>5</v>
      </c>
      <c r="K8" s="3" t="str">
        <f>IFERROR(_xlfn.XLOOKUP(F8,'CTA Actions'!$A$2:$A$7,'CTA Actions'!$B$2:$B$7),"")</f>
        <v>2|4</v>
      </c>
      <c r="N8" t="s">
        <v>34</v>
      </c>
    </row>
    <row r="9" spans="1:14" x14ac:dyDescent="0.25">
      <c r="A9" t="b">
        <v>1</v>
      </c>
      <c r="B9" t="str">
        <f>IF(F9="","",IF(F9="end","test_end",F9&amp;"_"&amp;COUNTIF($F$2:F9,F9)))</f>
        <v>run_normal_4</v>
      </c>
      <c r="C9" s="1">
        <v>3.2638888888888891E-2</v>
      </c>
      <c r="D9" t="s">
        <v>21</v>
      </c>
      <c r="E9" t="str">
        <f t="shared" si="0"/>
        <v>cta</v>
      </c>
      <c r="F9" t="s">
        <v>18</v>
      </c>
      <c r="G9" t="s">
        <v>19</v>
      </c>
      <c r="K9" s="3" t="str">
        <f>IFERROR(_xlfn.XLOOKUP(F9,'CTA Actions'!$A$2:$A$7,'CTA Actions'!$B$2:$B$7),"")</f>
        <v>1|0</v>
      </c>
      <c r="N9" t="s">
        <v>20</v>
      </c>
    </row>
    <row r="10" spans="1:14" x14ac:dyDescent="0.25">
      <c r="A10" t="b">
        <v>1</v>
      </c>
      <c r="B10" t="str">
        <f>IF(F10="","",IF(F10="end","test_end",F10&amp;"_"&amp;COUNTIF($F$2:F10,F10)))</f>
        <v>test_end</v>
      </c>
      <c r="C10" s="1">
        <v>3.6111111111111108E-2</v>
      </c>
      <c r="D10" t="s">
        <v>21</v>
      </c>
      <c r="E10" t="str">
        <f t="shared" si="0"/>
        <v>test</v>
      </c>
      <c r="F10" t="s">
        <v>22</v>
      </c>
      <c r="K10" s="3" t="str">
        <f>IFERROR(_xlfn.XLOOKUP(F10,'CTA Actions'!$A$2:$A$7,'CTA Actions'!$B$2:$B$7),"")</f>
        <v/>
      </c>
      <c r="N10" t="s">
        <v>23</v>
      </c>
    </row>
    <row r="11" spans="1:14" x14ac:dyDescent="0.25">
      <c r="B11" t="str">
        <f>IF(F11="","",IF(F11="end","test_end",F11&amp;"_"&amp;COUNTIF($F$2:F11,F11)))</f>
        <v/>
      </c>
      <c r="C11" s="1"/>
      <c r="E11" t="str">
        <f t="shared" si="0"/>
        <v/>
      </c>
      <c r="K11" s="3" t="str">
        <f>IFERROR(_xlfn.XLOOKUP(F11,'CTA Actions'!$A$2:$A$7,'CTA Actions'!$B$2:$B$7),"")</f>
        <v/>
      </c>
    </row>
    <row r="12" spans="1:14" x14ac:dyDescent="0.25">
      <c r="B12" t="str">
        <f>IF(F12="","",IF(F12="end","test_end",F12&amp;"_"&amp;COUNTIF($F$2:F12,F12)))</f>
        <v/>
      </c>
      <c r="C12" s="1"/>
      <c r="E12" t="str">
        <f t="shared" si="0"/>
        <v/>
      </c>
      <c r="K12" s="3" t="str">
        <f>IFERROR(_xlfn.XLOOKUP(F12,'CTA Actions'!$A$2:$A$7,'CTA Actions'!$B$2:$B$7),"")</f>
        <v/>
      </c>
    </row>
    <row r="13" spans="1:14" x14ac:dyDescent="0.25">
      <c r="B13" t="str">
        <f>IF(F13="","",IF(F13="end","test_end",F13&amp;"_"&amp;COUNTIF($F$2:F13,F13)))</f>
        <v/>
      </c>
      <c r="C13" s="1"/>
      <c r="E13" t="str">
        <f t="shared" si="0"/>
        <v/>
      </c>
      <c r="K13" s="3" t="str">
        <f>IFERROR(_xlfn.XLOOKUP(F13,'CTA Actions'!$A$2:$A$7,'CTA Actions'!$B$2:$B$7),"")</f>
        <v/>
      </c>
    </row>
    <row r="14" spans="1:14" x14ac:dyDescent="0.25">
      <c r="B14" t="str">
        <f>IF(F14="","",IF(F14="end","test_end",F14&amp;"_"&amp;COUNTIF($F$2:F14,F14)))</f>
        <v/>
      </c>
      <c r="C14" s="1"/>
      <c r="E14" t="str">
        <f t="shared" si="0"/>
        <v/>
      </c>
      <c r="K14" s="3" t="str">
        <f>IFERROR(_xlfn.XLOOKUP(F14,'CTA Actions'!$A$2:$A$7,'CTA Actions'!$B$2:$B$7),"")</f>
        <v/>
      </c>
    </row>
    <row r="15" spans="1:14" x14ac:dyDescent="0.25">
      <c r="B15" t="str">
        <f>IF(F15="","",IF(F15="end","test_end",F15&amp;"_"&amp;COUNTIF($F$2:F15,F15)))</f>
        <v/>
      </c>
      <c r="C15" s="1"/>
      <c r="E15" t="str">
        <f t="shared" si="0"/>
        <v/>
      </c>
      <c r="K15" s="3" t="str">
        <f>IFERROR(_xlfn.XLOOKUP(F15,'CTA Actions'!$A$2:$A$7,'CTA Actions'!$B$2:$B$7),"")</f>
        <v/>
      </c>
    </row>
    <row r="16" spans="1:14" x14ac:dyDescent="0.25">
      <c r="B16" t="str">
        <f>IF(F16="","",IF(F16="end","test_end",F16&amp;"_"&amp;COUNTIF($F$2:F16,F16)))</f>
        <v/>
      </c>
      <c r="C16" s="1"/>
      <c r="E16" t="str">
        <f t="shared" si="0"/>
        <v/>
      </c>
      <c r="K16" s="3" t="str">
        <f>IFERROR(_xlfn.XLOOKUP(F16,'CTA Actions'!$A$2:$A$7,'CTA Actions'!$B$2:$B$7),"")</f>
        <v/>
      </c>
    </row>
    <row r="17" spans="2:11" x14ac:dyDescent="0.25">
      <c r="B17" t="str">
        <f>IF(F17="","",IF(F17="end","test_end",F17&amp;"_"&amp;COUNTIF($F$2:F17,F17)))</f>
        <v/>
      </c>
      <c r="C17" s="1"/>
      <c r="E17" t="str">
        <f t="shared" si="0"/>
        <v/>
      </c>
      <c r="J17" s="2"/>
      <c r="K17" s="3" t="str">
        <f>IFERROR(_xlfn.XLOOKUP(F17,'CTA Actions'!$A$2:$A$7,'CTA Actions'!$B$2:$B$7),"")</f>
        <v/>
      </c>
    </row>
    <row r="18" spans="2:11" x14ac:dyDescent="0.25">
      <c r="B18" t="str">
        <f>IF(F18="","",IF(F18="end","test_end",F18&amp;"_"&amp;COUNTIF($F$2:F18,F18)))</f>
        <v/>
      </c>
      <c r="C18" s="1"/>
      <c r="E18" t="str">
        <f t="shared" si="0"/>
        <v/>
      </c>
      <c r="K18" s="3" t="str">
        <f>IFERROR(_xlfn.XLOOKUP(F18,'CTA Actions'!$A$2:$A$7,'CTA Actions'!$B$2:$B$7),"")</f>
        <v/>
      </c>
    </row>
    <row r="19" spans="2:11" x14ac:dyDescent="0.25">
      <c r="B19" t="str">
        <f>IF(F19="","",IF(F19="end","test_end",F19&amp;"_"&amp;COUNTIF($F$2:F19,F19)))</f>
        <v/>
      </c>
      <c r="C19" s="1"/>
      <c r="E19" t="str">
        <f t="shared" si="0"/>
        <v/>
      </c>
      <c r="H19" s="2"/>
      <c r="K19" s="3" t="str">
        <f>IFERROR(_xlfn.XLOOKUP(F19,'CTA Actions'!$A$2:$A$7,'CTA Actions'!$B$2:$B$7),"")</f>
        <v/>
      </c>
    </row>
    <row r="20" spans="2:11" x14ac:dyDescent="0.25">
      <c r="B20" t="str">
        <f>IF(F20="","",IF(F20="end","test_end",F20&amp;"_"&amp;COUNTIF($F$2:F20,F20)))</f>
        <v/>
      </c>
      <c r="C20" s="1"/>
      <c r="E20" t="str">
        <f t="shared" si="0"/>
        <v/>
      </c>
      <c r="K20" s="3" t="str">
        <f>IFERROR(_xlfn.XLOOKUP(F20,'CTA Actions'!$A$2:$A$7,'CTA Actions'!$B$2:$B$7),"")</f>
        <v/>
      </c>
    </row>
    <row r="21" spans="2:11" x14ac:dyDescent="0.25">
      <c r="B21" t="str">
        <f>IF(F21="","",IF(F21="end","test_end",F21&amp;"_"&amp;COUNTIF($F$2:F21,F21)))</f>
        <v/>
      </c>
      <c r="C21" s="1"/>
      <c r="E21" t="str">
        <f t="shared" si="0"/>
        <v/>
      </c>
      <c r="K21" s="3" t="str">
        <f>IFERROR(_xlfn.XLOOKUP(F21,'CTA Actions'!$A$2:$A$7,'CTA Actions'!$B$2:$B$7),"")</f>
        <v/>
      </c>
    </row>
    <row r="22" spans="2:11" x14ac:dyDescent="0.25">
      <c r="B22" t="str">
        <f>IF(F22="","",IF(F22="end","test_end",F22&amp;"_"&amp;COUNTIF($F$2:F22,F22)))</f>
        <v/>
      </c>
      <c r="C22" s="1"/>
      <c r="E22" t="str">
        <f t="shared" si="0"/>
        <v/>
      </c>
      <c r="K22" s="3" t="str">
        <f>IFERROR(_xlfn.XLOOKUP(F22,'CTA Actions'!$A$2:$A$7,'CTA Actions'!$B$2:$B$7),"")</f>
        <v/>
      </c>
    </row>
    <row r="23" spans="2:11" x14ac:dyDescent="0.25">
      <c r="B23" t="str">
        <f>IF(F23="","",IF(F23="end","test_end",F23&amp;"_"&amp;COUNTIF($F$2:F23,F23)))</f>
        <v/>
      </c>
      <c r="C23" s="1"/>
      <c r="E23" t="str">
        <f t="shared" si="0"/>
        <v/>
      </c>
      <c r="K23" s="3" t="str">
        <f>IFERROR(_xlfn.XLOOKUP(F23,'CTA Actions'!$A$2:$A$7,'CTA Actions'!$B$2:$B$7),"")</f>
        <v/>
      </c>
    </row>
    <row r="24" spans="2:11" x14ac:dyDescent="0.25">
      <c r="B24" t="str">
        <f>IF(F24="","",IF(F24="end","test_end",F24&amp;"_"&amp;COUNTIF($F$2:F24,F24)))</f>
        <v/>
      </c>
      <c r="C24" s="1"/>
      <c r="E24" t="str">
        <f t="shared" si="0"/>
        <v/>
      </c>
      <c r="K24" s="3" t="str">
        <f>IFERROR(_xlfn.XLOOKUP(F24,'CTA Actions'!$A$2:$A$7,'CTA Actions'!$B$2:$B$7),"")</f>
        <v/>
      </c>
    </row>
    <row r="25" spans="2:11" x14ac:dyDescent="0.25">
      <c r="B25" t="str">
        <f>IF(F25="","",IF(F25="end","test_end",F25&amp;"_"&amp;COUNTIF($F$2:F25,F25)))</f>
        <v/>
      </c>
      <c r="C25" s="1"/>
      <c r="E25" t="str">
        <f t="shared" si="0"/>
        <v/>
      </c>
      <c r="K25" s="3" t="str">
        <f>IFERROR(_xlfn.XLOOKUP(F25,'CTA Actions'!$A$2:$A$7,'CTA Actions'!$B$2:$B$7),"")</f>
        <v/>
      </c>
    </row>
    <row r="26" spans="2:11" x14ac:dyDescent="0.25">
      <c r="B26" t="str">
        <f>IF(F26="","",IF(F26="end","test_end",F26&amp;"_"&amp;COUNTIF($F$2:F26,F26)))</f>
        <v/>
      </c>
      <c r="C26" s="1"/>
      <c r="E26" t="str">
        <f t="shared" si="0"/>
        <v/>
      </c>
      <c r="K26" s="3" t="str">
        <f>IFERROR(_xlfn.XLOOKUP(F26,'CTA Actions'!$A$2:$A$7,'CTA Actions'!$B$2:$B$7),"")</f>
        <v/>
      </c>
    </row>
    <row r="27" spans="2:11" x14ac:dyDescent="0.25">
      <c r="B27" t="str">
        <f>IF(F27="","",IF(F27="end","test_end",F27&amp;"_"&amp;COUNTIF($F$2:F27,F27)))</f>
        <v/>
      </c>
      <c r="C27" s="1"/>
      <c r="E27" t="str">
        <f t="shared" si="0"/>
        <v/>
      </c>
      <c r="K27" s="3" t="str">
        <f>IFERROR(_xlfn.XLOOKUP(F27,'CTA Actions'!$A$2:$A$7,'CTA Actions'!$B$2:$B$7),"")</f>
        <v/>
      </c>
    </row>
    <row r="28" spans="2:11" x14ac:dyDescent="0.25">
      <c r="B28" t="str">
        <f>IF(F28="","",IF(F28="end","test_end",F28&amp;"_"&amp;COUNTIF($F$2:F28,F28)))</f>
        <v/>
      </c>
      <c r="C28" s="1"/>
      <c r="E28" t="str">
        <f t="shared" si="0"/>
        <v/>
      </c>
      <c r="K28" s="3" t="str">
        <f>IFERROR(_xlfn.XLOOKUP(F28,'CTA Actions'!$A$2:$A$7,'CTA Actions'!$B$2:$B$7),"")</f>
        <v/>
      </c>
    </row>
    <row r="29" spans="2:11" x14ac:dyDescent="0.25">
      <c r="B29" t="str">
        <f>IF(F29="","",IF(F29="end","test_end",F29&amp;"_"&amp;COUNTIF($F$2:F29,F29)))</f>
        <v/>
      </c>
      <c r="C29" s="1"/>
      <c r="E29" t="str">
        <f t="shared" si="0"/>
        <v/>
      </c>
      <c r="K29" s="3" t="str">
        <f>IFERROR(_xlfn.XLOOKUP(F29,'CTA Actions'!$A$2:$A$7,'CTA Actions'!$B$2:$B$7),"")</f>
        <v/>
      </c>
    </row>
    <row r="30" spans="2:11" x14ac:dyDescent="0.25">
      <c r="B30" t="str">
        <f>IF(F30="","",IF(F30="end","test_end",F30&amp;"_"&amp;COUNTIF($F$2:F30,F30)))</f>
        <v/>
      </c>
      <c r="C30" s="1"/>
      <c r="E30" t="str">
        <f t="shared" si="0"/>
        <v/>
      </c>
      <c r="K30" s="3" t="str">
        <f>IFERROR(_xlfn.XLOOKUP(F30,'CTA Actions'!$A$2:$A$7,'CTA Actions'!$B$2:$B$7),"")</f>
        <v/>
      </c>
    </row>
    <row r="31" spans="2:11" x14ac:dyDescent="0.25">
      <c r="B31" t="str">
        <f>IF(F31="","",IF(F31="end","test_end",F31&amp;"_"&amp;COUNTIF($F$2:F31,F31)))</f>
        <v/>
      </c>
      <c r="C31" s="1"/>
      <c r="E31" t="str">
        <f t="shared" si="0"/>
        <v/>
      </c>
      <c r="K31" s="3" t="str">
        <f>IFERROR(_xlfn.XLOOKUP(F31,'CTA Actions'!$A$2:$A$7,'CTA Actions'!$B$2:$B$7),"")</f>
        <v/>
      </c>
    </row>
    <row r="32" spans="2:11" x14ac:dyDescent="0.25">
      <c r="B32" t="str">
        <f>IF(F32="","",IF(F32="end","test_end",F32&amp;"_"&amp;COUNTIF($F$2:F32,F32)))</f>
        <v/>
      </c>
      <c r="C32" s="1"/>
      <c r="E32" t="str">
        <f t="shared" si="0"/>
        <v/>
      </c>
      <c r="K32" s="3" t="str">
        <f>IFERROR(_xlfn.XLOOKUP(F32,'CTA Actions'!$A$2:$A$7,'CTA Actions'!$B$2:$B$7),"")</f>
        <v/>
      </c>
    </row>
    <row r="33" spans="2:11" x14ac:dyDescent="0.25">
      <c r="B33" t="str">
        <f>IF(F33="","",IF(F33="end","test_end",F33&amp;"_"&amp;COUNTIF($F$2:F33,F33)))</f>
        <v/>
      </c>
      <c r="C33" s="1"/>
      <c r="E33" t="str">
        <f t="shared" si="0"/>
        <v/>
      </c>
      <c r="K33" s="3" t="str">
        <f>IFERROR(_xlfn.XLOOKUP(F33,'CTA Actions'!$A$2:$A$7,'CTA Actions'!$B$2:$B$7),"")</f>
        <v/>
      </c>
    </row>
    <row r="34" spans="2:11" x14ac:dyDescent="0.25">
      <c r="B34" t="str">
        <f>IF(F34="","",IF(F34="end","test_end",F34&amp;"_"&amp;COUNTIF($F$2:F34,F34)))</f>
        <v/>
      </c>
      <c r="C34" s="1"/>
      <c r="E34" t="str">
        <f t="shared" si="0"/>
        <v/>
      </c>
      <c r="K34" s="3" t="str">
        <f>IFERROR(_xlfn.XLOOKUP(F34,'CTA Actions'!$A$2:$A$7,'CTA Actions'!$B$2:$B$7),"")</f>
        <v/>
      </c>
    </row>
    <row r="35" spans="2:11" x14ac:dyDescent="0.25">
      <c r="B35" t="str">
        <f>IF(F35="","",IF(F35="end","test_end",F35&amp;"_"&amp;COUNTIF($F$2:F35,F35)))</f>
        <v/>
      </c>
      <c r="C35" s="1"/>
      <c r="E35" t="str">
        <f t="shared" si="0"/>
        <v/>
      </c>
      <c r="K35" s="3" t="str">
        <f>IFERROR(_xlfn.XLOOKUP(F35,'CTA Actions'!$A$2:$A$7,'CTA Actions'!$B$2:$B$7),"")</f>
        <v/>
      </c>
    </row>
    <row r="36" spans="2:11" x14ac:dyDescent="0.25">
      <c r="B36" t="str">
        <f>IF(F36="","",IF(F36="end","test_end",F36&amp;"_"&amp;COUNTIF($F$2:F36,F36)))</f>
        <v/>
      </c>
      <c r="C36" s="1"/>
      <c r="E36" t="str">
        <f t="shared" si="0"/>
        <v/>
      </c>
      <c r="K36" s="3" t="str">
        <f>IFERROR(_xlfn.XLOOKUP(F36,'CTA Actions'!$A$2:$A$7,'CTA Actions'!$B$2:$B$7),"")</f>
        <v/>
      </c>
    </row>
    <row r="37" spans="2:11" x14ac:dyDescent="0.25">
      <c r="B37" t="str">
        <f>IF(F37="","",IF(F37="end","test_end",F37&amp;"_"&amp;COUNTIF($F$2:F37,F37)))</f>
        <v/>
      </c>
      <c r="C37" s="1"/>
      <c r="E37" t="str">
        <f t="shared" si="0"/>
        <v/>
      </c>
      <c r="K37" s="3" t="str">
        <f>IFERROR(_xlfn.XLOOKUP(F37,'CTA Actions'!$A$2:$A$7,'CTA Actions'!$B$2:$B$7),"")</f>
        <v/>
      </c>
    </row>
    <row r="38" spans="2:11" x14ac:dyDescent="0.25">
      <c r="B38" t="str">
        <f>IF(F38="","",IF(F38="end","test_end",F38&amp;"_"&amp;COUNTIF($F$2:F38,F38)))</f>
        <v/>
      </c>
      <c r="C38" s="1"/>
      <c r="E38" t="str">
        <f t="shared" si="0"/>
        <v/>
      </c>
      <c r="K38" s="3" t="str">
        <f>IFERROR(_xlfn.XLOOKUP(F38,'CTA Actions'!$A$2:$A$7,'CTA Actions'!$B$2:$B$7),"")</f>
        <v/>
      </c>
    </row>
    <row r="39" spans="2:11" x14ac:dyDescent="0.25">
      <c r="B39" t="str">
        <f>IF(F39="","",IF(F39="end","test_end",F39&amp;"_"&amp;COUNTIF($F$2:F39,F39)))</f>
        <v/>
      </c>
      <c r="C39" s="1"/>
      <c r="E39" t="str">
        <f t="shared" si="0"/>
        <v/>
      </c>
      <c r="K39" s="3" t="str">
        <f>IFERROR(_xlfn.XLOOKUP(F39,'CTA Actions'!$A$2:$A$7,'CTA Actions'!$B$2:$B$7),"")</f>
        <v/>
      </c>
    </row>
    <row r="40" spans="2:11" x14ac:dyDescent="0.25">
      <c r="B40" t="str">
        <f>IF(F40="","",IF(F40="end","test_end",F40&amp;"_"&amp;COUNTIF($F$2:F40,F40)))</f>
        <v/>
      </c>
      <c r="C40" s="1"/>
      <c r="E40" t="str">
        <f t="shared" si="0"/>
        <v/>
      </c>
      <c r="K40" s="3" t="str">
        <f>IFERROR(_xlfn.XLOOKUP(F40,'CTA Actions'!$A$2:$A$7,'CTA Actions'!$B$2:$B$7),"")</f>
        <v/>
      </c>
    </row>
    <row r="41" spans="2:11" x14ac:dyDescent="0.25">
      <c r="B41" t="str">
        <f>IF(F41="","",IF(F41="end","test_end",F41&amp;"_"&amp;COUNTIF($F$2:F41,F41)))</f>
        <v/>
      </c>
      <c r="C41" s="1"/>
      <c r="E41" t="str">
        <f t="shared" si="0"/>
        <v/>
      </c>
      <c r="K41" s="3" t="str">
        <f>IFERROR(_xlfn.XLOOKUP(F41,'CTA Actions'!$A$2:$A$7,'CTA Actions'!$B$2:$B$7),"")</f>
        <v/>
      </c>
    </row>
    <row r="42" spans="2:11" x14ac:dyDescent="0.25">
      <c r="B42" t="str">
        <f>IF(F42="","",IF(F42="end","test_end",F42&amp;"_"&amp;COUNTIF($F$2:F42,F42)))</f>
        <v/>
      </c>
      <c r="C42" s="1"/>
      <c r="E42" t="str">
        <f t="shared" si="0"/>
        <v/>
      </c>
      <c r="K42" s="3" t="str">
        <f>IFERROR(_xlfn.XLOOKUP(F42,'CTA Actions'!$A$2:$A$7,'CTA Actions'!$B$2:$B$7),"")</f>
        <v/>
      </c>
    </row>
    <row r="43" spans="2:11" x14ac:dyDescent="0.25">
      <c r="B43" t="str">
        <f>IF(F43="","",IF(F43="end","test_end",F43&amp;"_"&amp;COUNTIF($F$2:F43,F43)))</f>
        <v/>
      </c>
      <c r="C43" s="1"/>
      <c r="E43" t="str">
        <f t="shared" si="0"/>
        <v/>
      </c>
      <c r="K43" s="3" t="str">
        <f>IFERROR(_xlfn.XLOOKUP(F43,'CTA Actions'!$A$2:$A$7,'CTA Actions'!$B$2:$B$7),"")</f>
        <v/>
      </c>
    </row>
    <row r="44" spans="2:11" x14ac:dyDescent="0.25">
      <c r="B44" t="str">
        <f>IF(F44="","",IF(F44="end","test_end",F44&amp;"_"&amp;COUNTIF($F$2:F44,F44)))</f>
        <v/>
      </c>
      <c r="C44" s="1"/>
      <c r="E44" t="str">
        <f t="shared" si="0"/>
        <v/>
      </c>
      <c r="K44" s="3" t="str">
        <f>IFERROR(_xlfn.XLOOKUP(F44,'CTA Actions'!$A$2:$A$7,'CTA Actions'!$B$2:$B$7),"")</f>
        <v/>
      </c>
    </row>
    <row r="45" spans="2:11" x14ac:dyDescent="0.25">
      <c r="B45" t="str">
        <f>IF(F45="","",IF(F45="end","test_end",F45&amp;"_"&amp;COUNTIF($F$2:F45,F45)))</f>
        <v/>
      </c>
      <c r="C45" s="1"/>
      <c r="E45" t="str">
        <f t="shared" si="0"/>
        <v/>
      </c>
      <c r="K45" s="3" t="str">
        <f>IFERROR(_xlfn.XLOOKUP(F45,'CTA Actions'!$A$2:$A$7,'CTA Actions'!$B$2:$B$7),"")</f>
        <v/>
      </c>
    </row>
    <row r="46" spans="2:11" x14ac:dyDescent="0.25">
      <c r="B46" t="str">
        <f>IF(F46="","",IF(F46="end","test_end",F46&amp;"_"&amp;COUNTIF($F$2:F46,F46)))</f>
        <v/>
      </c>
      <c r="C46" s="1"/>
      <c r="E46" t="str">
        <f t="shared" si="0"/>
        <v/>
      </c>
      <c r="K46" s="3" t="str">
        <f>IFERROR(_xlfn.XLOOKUP(F46,'CTA Actions'!$A$2:$A$7,'CTA Actions'!$B$2:$B$7),"")</f>
        <v/>
      </c>
    </row>
    <row r="47" spans="2:11" x14ac:dyDescent="0.25">
      <c r="B47" t="str">
        <f>IF(F47="","",IF(F47="end","test_end",F47&amp;"_"&amp;COUNTIF($F$2:F47,F47)))</f>
        <v/>
      </c>
      <c r="C47" s="1"/>
      <c r="E47" t="str">
        <f t="shared" si="0"/>
        <v/>
      </c>
      <c r="K47" s="3" t="str">
        <f>IFERROR(_xlfn.XLOOKUP(F47,'CTA Actions'!$A$2:$A$7,'CTA Actions'!$B$2:$B$7),"")</f>
        <v/>
      </c>
    </row>
    <row r="48" spans="2:11" x14ac:dyDescent="0.25">
      <c r="B48" t="str">
        <f>IF(F48="","",IF(F48="end","test_end",F48&amp;"_"&amp;COUNTIF($F$2:F48,F48)))</f>
        <v/>
      </c>
      <c r="C48" s="1"/>
      <c r="E48" t="str">
        <f t="shared" si="0"/>
        <v/>
      </c>
      <c r="K48" s="3" t="str">
        <f>IFERROR(_xlfn.XLOOKUP(F48,'CTA Actions'!$A$2:$A$7,'CTA Actions'!$B$2:$B$7),"")</f>
        <v/>
      </c>
    </row>
    <row r="49" spans="2:11" x14ac:dyDescent="0.25">
      <c r="B49" t="str">
        <f>IF(F49="","",IF(F49="end","test_end",F49&amp;"_"&amp;COUNTIF($F$2:F49,F49)))</f>
        <v/>
      </c>
      <c r="C49" s="1"/>
      <c r="E49" t="str">
        <f t="shared" si="0"/>
        <v/>
      </c>
      <c r="K49" s="3" t="str">
        <f>IFERROR(_xlfn.XLOOKUP(F49,'CTA Actions'!$A$2:$A$7,'CTA Actions'!$B$2:$B$7),"")</f>
        <v/>
      </c>
    </row>
    <row r="50" spans="2:11" x14ac:dyDescent="0.25">
      <c r="B50" t="str">
        <f>IF(F50="","",IF(F50="end","test_end",F50&amp;"_"&amp;COUNTIF($F$2:F50,F50)))</f>
        <v/>
      </c>
      <c r="C50" s="1"/>
      <c r="E50" t="str">
        <f t="shared" si="0"/>
        <v/>
      </c>
      <c r="K50" s="3" t="str">
        <f>IFERROR(_xlfn.XLOOKUP(F50,'CTA Actions'!$A$2:$A$7,'CTA Actions'!$B$2:$B$7),"")</f>
        <v/>
      </c>
    </row>
    <row r="51" spans="2:11" x14ac:dyDescent="0.25">
      <c r="B51" t="str">
        <f>IF(F51="","",IF(F51="end","test_end",F51&amp;"_"&amp;COUNTIF($F$2:F51,F51)))</f>
        <v/>
      </c>
      <c r="C51" s="1"/>
      <c r="E51" t="str">
        <f t="shared" si="0"/>
        <v/>
      </c>
      <c r="K51" s="3" t="str">
        <f>IFERROR(_xlfn.XLOOKUP(F51,'CTA Actions'!$A$2:$A$7,'CTA Actions'!$B$2:$B$7),"")</f>
        <v/>
      </c>
    </row>
    <row r="52" spans="2:11" x14ac:dyDescent="0.25">
      <c r="B52" t="str">
        <f>IF(F52="","",IF(F52="end","test_end",F52&amp;"_"&amp;COUNTIF($F$2:F52,F52)))</f>
        <v/>
      </c>
      <c r="C52" s="1"/>
      <c r="E52" t="str">
        <f t="shared" si="0"/>
        <v/>
      </c>
      <c r="K52" s="3" t="str">
        <f>IFERROR(_xlfn.XLOOKUP(F52,'CTA Actions'!$A$2:$A$7,'CTA Actions'!$B$2:$B$7),"")</f>
        <v/>
      </c>
    </row>
    <row r="53" spans="2:11" x14ac:dyDescent="0.25">
      <c r="B53" t="str">
        <f>IF(F53="","",IF(F53="end","test_end",F53&amp;"_"&amp;COUNTIF($F$2:F53,F53)))</f>
        <v/>
      </c>
      <c r="C53" s="1"/>
      <c r="E53" t="str">
        <f t="shared" si="0"/>
        <v/>
      </c>
      <c r="K53" s="3" t="str">
        <f>IFERROR(_xlfn.XLOOKUP(F53,'CTA Actions'!$A$2:$A$7,'CTA Actions'!$B$2:$B$7),"")</f>
        <v/>
      </c>
    </row>
    <row r="54" spans="2:11" x14ac:dyDescent="0.25">
      <c r="B54" t="str">
        <f>IF(F54="","",IF(F54="end","test_end",F54&amp;"_"&amp;COUNTIF($F$2:F54,F54)))</f>
        <v/>
      </c>
      <c r="C54" s="1"/>
      <c r="E54" t="str">
        <f t="shared" si="0"/>
        <v/>
      </c>
      <c r="K54" s="3" t="str">
        <f>IFERROR(_xlfn.XLOOKUP(F54,'CTA Actions'!$A$2:$A$7,'CTA Actions'!$B$2:$B$7),"")</f>
        <v/>
      </c>
    </row>
    <row r="55" spans="2:11" x14ac:dyDescent="0.25">
      <c r="B55" t="str">
        <f>IF(F55="","",IF(F55="end","test_end",F55&amp;"_"&amp;COUNTIF($F$2:F55,F55)))</f>
        <v/>
      </c>
      <c r="C55" s="1"/>
      <c r="E55" t="str">
        <f t="shared" si="0"/>
        <v/>
      </c>
      <c r="K55" s="3" t="str">
        <f>IFERROR(_xlfn.XLOOKUP(F55,'CTA Actions'!$A$2:$A$7,'CTA Actions'!$B$2:$B$7),"")</f>
        <v/>
      </c>
    </row>
    <row r="56" spans="2:11" x14ac:dyDescent="0.25">
      <c r="B56" t="str">
        <f>IF(F56="","",IF(F56="end","test_end",F56&amp;"_"&amp;COUNTIF($F$2:F56,F56)))</f>
        <v/>
      </c>
      <c r="C56" s="1"/>
      <c r="E56" t="str">
        <f t="shared" si="0"/>
        <v/>
      </c>
      <c r="K56" s="3" t="str">
        <f>IFERROR(_xlfn.XLOOKUP(F56,'CTA Actions'!$A$2:$A$7,'CTA Actions'!$B$2:$B$7),"")</f>
        <v/>
      </c>
    </row>
    <row r="57" spans="2:11" x14ac:dyDescent="0.25">
      <c r="B57" t="str">
        <f>IF(F57="","",IF(F57="end","test_end",F57&amp;"_"&amp;COUNTIF($F$2:F57,F57)))</f>
        <v/>
      </c>
      <c r="C57" s="1"/>
      <c r="E57" t="str">
        <f t="shared" si="0"/>
        <v/>
      </c>
      <c r="K57" s="3" t="str">
        <f>IFERROR(_xlfn.XLOOKUP(F57,'CTA Actions'!$A$2:$A$7,'CTA Actions'!$B$2:$B$7),"")</f>
        <v/>
      </c>
    </row>
    <row r="58" spans="2:11" x14ac:dyDescent="0.25">
      <c r="B58" t="str">
        <f>IF(F58="","",IF(F58="end","test_end",F58&amp;"_"&amp;COUNTIF($F$2:F58,F58)))</f>
        <v/>
      </c>
      <c r="C58" s="1"/>
      <c r="E58" t="str">
        <f t="shared" si="0"/>
        <v/>
      </c>
      <c r="K58" s="3" t="str">
        <f>IFERROR(_xlfn.XLOOKUP(F58,'CTA Actions'!$A$2:$A$7,'CTA Actions'!$B$2:$B$7),"")</f>
        <v/>
      </c>
    </row>
    <row r="59" spans="2:11" x14ac:dyDescent="0.25">
      <c r="B59" t="str">
        <f>IF(F59="","",IF(F59="end","test_end",F59&amp;"_"&amp;COUNTIF($F$2:F59,F59)))</f>
        <v/>
      </c>
      <c r="C59" s="1"/>
      <c r="E59" t="str">
        <f t="shared" si="0"/>
        <v/>
      </c>
      <c r="K59" s="3" t="str">
        <f>IFERROR(_xlfn.XLOOKUP(F59,'CTA Actions'!$A$2:$A$7,'CTA Actions'!$B$2:$B$7),"")</f>
        <v/>
      </c>
    </row>
    <row r="60" spans="2:11" x14ac:dyDescent="0.25">
      <c r="B60" t="str">
        <f>IF(F60="","",IF(F60="end","test_end",F60&amp;"_"&amp;COUNTIF($F$2:F60,F60)))</f>
        <v/>
      </c>
      <c r="C60" s="1"/>
      <c r="E60" t="str">
        <f t="shared" si="0"/>
        <v/>
      </c>
      <c r="K60" s="3" t="str">
        <f>IFERROR(_xlfn.XLOOKUP(F60,'CTA Actions'!$A$2:$A$7,'CTA Actions'!$B$2:$B$7),"")</f>
        <v/>
      </c>
    </row>
    <row r="61" spans="2:11" x14ac:dyDescent="0.25">
      <c r="B61" t="str">
        <f>IF(F61="","",IF(F61="end","test_end",F61&amp;"_"&amp;COUNTIF($F$2:F61,F61)))</f>
        <v/>
      </c>
      <c r="C61" s="1"/>
      <c r="E61" t="str">
        <f t="shared" si="0"/>
        <v/>
      </c>
      <c r="K61" s="3" t="str">
        <f>IFERROR(_xlfn.XLOOKUP(F61,'CTA Actions'!$A$2:$A$7,'CTA Actions'!$B$2:$B$7),"")</f>
        <v/>
      </c>
    </row>
    <row r="62" spans="2:11" x14ac:dyDescent="0.25">
      <c r="B62" t="str">
        <f>IF(F62="","",IF(F62="end","test_end",F62&amp;"_"&amp;COUNTIF($F$2:F62,F62)))</f>
        <v/>
      </c>
      <c r="C62" s="1"/>
      <c r="E62" t="str">
        <f t="shared" si="0"/>
        <v/>
      </c>
      <c r="K62" s="3" t="str">
        <f>IFERROR(_xlfn.XLOOKUP(F62,'CTA Actions'!$A$2:$A$7,'CTA Actions'!$B$2:$B$7),"")</f>
        <v/>
      </c>
    </row>
    <row r="63" spans="2:11" x14ac:dyDescent="0.25">
      <c r="B63" t="str">
        <f>IF(F63="","",IF(F63="end","test_end",F63&amp;"_"&amp;COUNTIF($F$2:F63,F63)))</f>
        <v/>
      </c>
      <c r="C63" s="1"/>
      <c r="E63" t="str">
        <f t="shared" si="0"/>
        <v/>
      </c>
      <c r="K63" s="3" t="str">
        <f>IFERROR(_xlfn.XLOOKUP(F63,'CTA Actions'!$A$2:$A$7,'CTA Actions'!$B$2:$B$7),"")</f>
        <v/>
      </c>
    </row>
    <row r="64" spans="2:11" x14ac:dyDescent="0.25">
      <c r="B64" t="str">
        <f>IF(F64="","",IF(F64="end","test_end",F64&amp;"_"&amp;COUNTIF($F$2:F64,F64)))</f>
        <v/>
      </c>
      <c r="C64" s="1"/>
      <c r="E64" t="str">
        <f t="shared" si="0"/>
        <v/>
      </c>
      <c r="K64" s="3" t="str">
        <f>IFERROR(_xlfn.XLOOKUP(F64,'CTA Actions'!$A$2:$A$7,'CTA Actions'!$B$2:$B$7),"")</f>
        <v/>
      </c>
    </row>
    <row r="65" spans="2:11" x14ac:dyDescent="0.25">
      <c r="B65" t="str">
        <f>IF(F65="","",IF(F65="end","test_end",F65&amp;"_"&amp;COUNTIF($F$2:F65,F65)))</f>
        <v/>
      </c>
      <c r="C65" s="1"/>
      <c r="E65" t="str">
        <f t="shared" si="0"/>
        <v/>
      </c>
      <c r="K65" s="3" t="str">
        <f>IFERROR(_xlfn.XLOOKUP(F65,'CTA Actions'!$A$2:$A$7,'CTA Actions'!$B$2:$B$7),"")</f>
        <v/>
      </c>
    </row>
    <row r="66" spans="2:11" x14ac:dyDescent="0.25">
      <c r="B66" t="str">
        <f>IF(F66="","",IF(F66="end","test_end",F66&amp;"_"&amp;COUNTIF($F$2:F66,F66)))</f>
        <v/>
      </c>
      <c r="C66" s="1"/>
      <c r="E66" t="str">
        <f t="shared" si="0"/>
        <v/>
      </c>
      <c r="K66" s="3" t="str">
        <f>IFERROR(_xlfn.XLOOKUP(F66,'CTA Actions'!$A$2:$A$7,'CTA Actions'!$B$2:$B$7),"")</f>
        <v/>
      </c>
    </row>
    <row r="67" spans="2:11" x14ac:dyDescent="0.25">
      <c r="B67" t="str">
        <f>IF(F67="","",IF(F67="end","test_end",F67&amp;"_"&amp;COUNTIF($F$2:F67,F67)))</f>
        <v/>
      </c>
      <c r="C67" s="1"/>
      <c r="E67" t="str">
        <f t="shared" ref="E67:E130" si="1">IF(F67="","",IF(F67="water_draw","water_draw",IF(F67="end","test","cta")))</f>
        <v/>
      </c>
      <c r="K67" s="3" t="str">
        <f>IFERROR(_xlfn.XLOOKUP(F67,'CTA Actions'!$A$2:$A$7,'CTA Actions'!$B$2:$B$7),"")</f>
        <v/>
      </c>
    </row>
    <row r="68" spans="2:11" x14ac:dyDescent="0.25">
      <c r="B68" t="str">
        <f>IF(F68="","",IF(F68="end","test_end",F68&amp;"_"&amp;COUNTIF($F$2:F68,F68)))</f>
        <v/>
      </c>
      <c r="C68" s="1"/>
      <c r="E68" t="str">
        <f t="shared" si="1"/>
        <v/>
      </c>
      <c r="K68" s="3" t="str">
        <f>IFERROR(_xlfn.XLOOKUP(F68,'CTA Actions'!$A$2:$A$7,'CTA Actions'!$B$2:$B$7),"")</f>
        <v/>
      </c>
    </row>
    <row r="69" spans="2:11" x14ac:dyDescent="0.25">
      <c r="B69" t="str">
        <f>IF(F69="","",IF(F69="end","test_end",F69&amp;"_"&amp;COUNTIF($F$2:F69,F69)))</f>
        <v/>
      </c>
      <c r="C69" s="1"/>
      <c r="E69" t="str">
        <f t="shared" si="1"/>
        <v/>
      </c>
      <c r="K69" s="3" t="str">
        <f>IFERROR(_xlfn.XLOOKUP(F69,'CTA Actions'!$A$2:$A$7,'CTA Actions'!$B$2:$B$7),"")</f>
        <v/>
      </c>
    </row>
    <row r="70" spans="2:11" x14ac:dyDescent="0.25">
      <c r="B70" t="str">
        <f>IF(F70="","",IF(F70="end","test_end",F70&amp;"_"&amp;COUNTIF($F$2:F70,F70)))</f>
        <v/>
      </c>
      <c r="C70" s="1"/>
      <c r="E70" t="str">
        <f t="shared" si="1"/>
        <v/>
      </c>
      <c r="K70" s="3" t="str">
        <f>IFERROR(_xlfn.XLOOKUP(F70,'CTA Actions'!$A$2:$A$7,'CTA Actions'!$B$2:$B$7),"")</f>
        <v/>
      </c>
    </row>
    <row r="71" spans="2:11" x14ac:dyDescent="0.25">
      <c r="B71" t="str">
        <f>IF(F71="","",IF(F71="end","test_end",F71&amp;"_"&amp;COUNTIF($F$2:F71,F71)))</f>
        <v/>
      </c>
      <c r="C71" s="1"/>
      <c r="E71" t="str">
        <f t="shared" si="1"/>
        <v/>
      </c>
      <c r="K71" s="3" t="str">
        <f>IFERROR(_xlfn.XLOOKUP(F71,'CTA Actions'!$A$2:$A$7,'CTA Actions'!$B$2:$B$7),"")</f>
        <v/>
      </c>
    </row>
    <row r="72" spans="2:11" x14ac:dyDescent="0.25">
      <c r="B72" t="str">
        <f>IF(F72="","",IF(F72="end","test_end",F72&amp;"_"&amp;COUNTIF($F$2:F72,F72)))</f>
        <v/>
      </c>
      <c r="C72" s="1"/>
      <c r="E72" t="str">
        <f t="shared" si="1"/>
        <v/>
      </c>
      <c r="K72" s="3" t="str">
        <f>IFERROR(_xlfn.XLOOKUP(F72,'CTA Actions'!$A$2:$A$7,'CTA Actions'!$B$2:$B$7),"")</f>
        <v/>
      </c>
    </row>
    <row r="73" spans="2:11" x14ac:dyDescent="0.25">
      <c r="B73" t="str">
        <f>IF(F73="","",IF(F73="end","test_end",F73&amp;"_"&amp;COUNTIF($F$2:F73,F73)))</f>
        <v/>
      </c>
      <c r="C73" s="1"/>
      <c r="E73" t="str">
        <f t="shared" si="1"/>
        <v/>
      </c>
      <c r="K73" s="3" t="str">
        <f>IFERROR(_xlfn.XLOOKUP(F73,'CTA Actions'!$A$2:$A$7,'CTA Actions'!$B$2:$B$7),"")</f>
        <v/>
      </c>
    </row>
    <row r="74" spans="2:11" x14ac:dyDescent="0.25">
      <c r="B74" t="str">
        <f>IF(F74="","",IF(F74="end","test_end",F74&amp;"_"&amp;COUNTIF($F$2:F74,F74)))</f>
        <v/>
      </c>
      <c r="C74" s="1"/>
      <c r="E74" t="str">
        <f t="shared" si="1"/>
        <v/>
      </c>
      <c r="K74" s="3" t="str">
        <f>IFERROR(_xlfn.XLOOKUP(F74,'CTA Actions'!$A$2:$A$7,'CTA Actions'!$B$2:$B$7),"")</f>
        <v/>
      </c>
    </row>
    <row r="75" spans="2:11" x14ac:dyDescent="0.25">
      <c r="B75" t="str">
        <f>IF(F75="","",IF(F75="end","test_end",F75&amp;"_"&amp;COUNTIF($F$2:F75,F75)))</f>
        <v/>
      </c>
      <c r="C75" s="1"/>
      <c r="E75" t="str">
        <f t="shared" si="1"/>
        <v/>
      </c>
      <c r="K75" s="3" t="str">
        <f>IFERROR(_xlfn.XLOOKUP(F75,'CTA Actions'!$A$2:$A$7,'CTA Actions'!$B$2:$B$7),"")</f>
        <v/>
      </c>
    </row>
    <row r="76" spans="2:11" x14ac:dyDescent="0.25">
      <c r="B76" t="str">
        <f>IF(F76="","",IF(F76="end","test_end",F76&amp;"_"&amp;COUNTIF($F$2:F76,F76)))</f>
        <v/>
      </c>
      <c r="C76" s="1"/>
      <c r="E76" t="str">
        <f t="shared" si="1"/>
        <v/>
      </c>
      <c r="K76" s="3" t="str">
        <f>IFERROR(_xlfn.XLOOKUP(F76,'CTA Actions'!$A$2:$A$7,'CTA Actions'!$B$2:$B$7),"")</f>
        <v/>
      </c>
    </row>
    <row r="77" spans="2:11" x14ac:dyDescent="0.25">
      <c r="B77" t="str">
        <f>IF(F77="","",IF(F77="end","test_end",F77&amp;"_"&amp;COUNTIF($F$2:F77,F77)))</f>
        <v/>
      </c>
      <c r="C77" s="1"/>
      <c r="E77" t="str">
        <f t="shared" si="1"/>
        <v/>
      </c>
      <c r="K77" s="3" t="str">
        <f>IFERROR(_xlfn.XLOOKUP(F77,'CTA Actions'!$A$2:$A$7,'CTA Actions'!$B$2:$B$7),"")</f>
        <v/>
      </c>
    </row>
    <row r="78" spans="2:11" x14ac:dyDescent="0.25">
      <c r="B78" t="str">
        <f>IF(F78="","",IF(F78="end","test_end",F78&amp;"_"&amp;COUNTIF($F$2:F78,F78)))</f>
        <v/>
      </c>
      <c r="C78" s="1"/>
      <c r="E78" t="str">
        <f t="shared" si="1"/>
        <v/>
      </c>
      <c r="K78" s="3" t="str">
        <f>IFERROR(_xlfn.XLOOKUP(F78,'CTA Actions'!$A$2:$A$7,'CTA Actions'!$B$2:$B$7),"")</f>
        <v/>
      </c>
    </row>
    <row r="79" spans="2:11" x14ac:dyDescent="0.25">
      <c r="B79" t="str">
        <f>IF(F79="","",IF(F79="end","test_end",F79&amp;"_"&amp;COUNTIF($F$2:F79,F79)))</f>
        <v/>
      </c>
      <c r="C79" s="1"/>
      <c r="E79" t="str">
        <f t="shared" si="1"/>
        <v/>
      </c>
      <c r="K79" s="3" t="str">
        <f>IFERROR(_xlfn.XLOOKUP(F79,'CTA Actions'!$A$2:$A$7,'CTA Actions'!$B$2:$B$7),"")</f>
        <v/>
      </c>
    </row>
    <row r="80" spans="2:11" x14ac:dyDescent="0.25">
      <c r="B80" t="str">
        <f>IF(F80="","",IF(F80="end","test_end",F80&amp;"_"&amp;COUNTIF($F$2:F80,F80)))</f>
        <v/>
      </c>
      <c r="C80" s="1"/>
      <c r="E80" t="str">
        <f t="shared" si="1"/>
        <v/>
      </c>
      <c r="K80" s="3" t="str">
        <f>IFERROR(_xlfn.XLOOKUP(F80,'CTA Actions'!$A$2:$A$7,'CTA Actions'!$B$2:$B$7),"")</f>
        <v/>
      </c>
    </row>
    <row r="81" spans="2:11" x14ac:dyDescent="0.25">
      <c r="B81" t="str">
        <f>IF(F81="","",IF(F81="end","test_end",F81&amp;"_"&amp;COUNTIF($F$2:F81,F81)))</f>
        <v/>
      </c>
      <c r="C81" s="1"/>
      <c r="E81" t="str">
        <f t="shared" si="1"/>
        <v/>
      </c>
      <c r="K81" s="3" t="str">
        <f>IFERROR(_xlfn.XLOOKUP(F81,'CTA Actions'!$A$2:$A$7,'CTA Actions'!$B$2:$B$7),"")</f>
        <v/>
      </c>
    </row>
    <row r="82" spans="2:11" x14ac:dyDescent="0.25">
      <c r="B82" t="str">
        <f>IF(F82="","",IF(F82="end","test_end",F82&amp;"_"&amp;COUNTIF($F$2:F82,F82)))</f>
        <v/>
      </c>
      <c r="C82" s="1"/>
      <c r="E82" t="str">
        <f t="shared" si="1"/>
        <v/>
      </c>
      <c r="K82" s="3" t="str">
        <f>IFERROR(_xlfn.XLOOKUP(F82,'CTA Actions'!$A$2:$A$7,'CTA Actions'!$B$2:$B$7),"")</f>
        <v/>
      </c>
    </row>
    <row r="83" spans="2:11" x14ac:dyDescent="0.25">
      <c r="B83" t="str">
        <f>IF(F83="","",IF(F83="end","test_end",F83&amp;"_"&amp;COUNTIF($F$2:F83,F83)))</f>
        <v/>
      </c>
      <c r="C83" s="1"/>
      <c r="E83" t="str">
        <f t="shared" si="1"/>
        <v/>
      </c>
      <c r="K83" s="3" t="str">
        <f>IFERROR(_xlfn.XLOOKUP(F83,'CTA Actions'!$A$2:$A$7,'CTA Actions'!$B$2:$B$7),"")</f>
        <v/>
      </c>
    </row>
    <row r="84" spans="2:11" x14ac:dyDescent="0.25">
      <c r="B84" t="str">
        <f>IF(F84="","",IF(F84="end","test_end",F84&amp;"_"&amp;COUNTIF($F$2:F84,F84)))</f>
        <v/>
      </c>
      <c r="C84" s="1"/>
      <c r="E84" t="str">
        <f t="shared" si="1"/>
        <v/>
      </c>
      <c r="K84" s="3" t="str">
        <f>IFERROR(_xlfn.XLOOKUP(F84,'CTA Actions'!$A$2:$A$7,'CTA Actions'!$B$2:$B$7),"")</f>
        <v/>
      </c>
    </row>
    <row r="85" spans="2:11" x14ac:dyDescent="0.25">
      <c r="B85" t="str">
        <f>IF(F85="","",IF(F85="end","test_end",F85&amp;"_"&amp;COUNTIF($F$2:F85,F85)))</f>
        <v/>
      </c>
      <c r="C85" s="1"/>
      <c r="E85" t="str">
        <f t="shared" si="1"/>
        <v/>
      </c>
      <c r="K85" s="3" t="str">
        <f>IFERROR(_xlfn.XLOOKUP(F85,'CTA Actions'!$A$2:$A$7,'CTA Actions'!$B$2:$B$7),"")</f>
        <v/>
      </c>
    </row>
    <row r="86" spans="2:11" x14ac:dyDescent="0.25">
      <c r="B86" t="str">
        <f>IF(F86="","",IF(F86="end","test_end",F86&amp;"_"&amp;COUNTIF($F$2:F86,F86)))</f>
        <v/>
      </c>
      <c r="C86" s="1"/>
      <c r="E86" t="str">
        <f t="shared" si="1"/>
        <v/>
      </c>
      <c r="K86" s="3" t="str">
        <f>IFERROR(_xlfn.XLOOKUP(F86,'CTA Actions'!$A$2:$A$7,'CTA Actions'!$B$2:$B$7),"")</f>
        <v/>
      </c>
    </row>
    <row r="87" spans="2:11" x14ac:dyDescent="0.25">
      <c r="B87" t="str">
        <f>IF(F87="","",IF(F87="end","test_end",F87&amp;"_"&amp;COUNTIF($F$2:F87,F87)))</f>
        <v/>
      </c>
      <c r="C87" s="1"/>
      <c r="E87" t="str">
        <f t="shared" si="1"/>
        <v/>
      </c>
      <c r="K87" s="3" t="str">
        <f>IFERROR(_xlfn.XLOOKUP(F87,'CTA Actions'!$A$2:$A$7,'CTA Actions'!$B$2:$B$7),"")</f>
        <v/>
      </c>
    </row>
    <row r="88" spans="2:11" x14ac:dyDescent="0.25">
      <c r="B88" t="str">
        <f>IF(F88="","",IF(F88="end","test_end",F88&amp;"_"&amp;COUNTIF($F$2:F88,F88)))</f>
        <v/>
      </c>
      <c r="C88" s="1"/>
      <c r="E88" t="str">
        <f t="shared" si="1"/>
        <v/>
      </c>
      <c r="K88" s="3" t="str">
        <f>IFERROR(_xlfn.XLOOKUP(F88,'CTA Actions'!$A$2:$A$7,'CTA Actions'!$B$2:$B$7),"")</f>
        <v/>
      </c>
    </row>
    <row r="89" spans="2:11" x14ac:dyDescent="0.25">
      <c r="B89" t="str">
        <f>IF(F89="","",IF(F89="end","test_end",F89&amp;"_"&amp;COUNTIF($F$2:F89,F89)))</f>
        <v/>
      </c>
      <c r="C89" s="1"/>
      <c r="E89" t="str">
        <f t="shared" si="1"/>
        <v/>
      </c>
      <c r="K89" s="3" t="str">
        <f>IFERROR(_xlfn.XLOOKUP(F89,'CTA Actions'!$A$2:$A$7,'CTA Actions'!$B$2:$B$7),"")</f>
        <v/>
      </c>
    </row>
    <row r="90" spans="2:11" x14ac:dyDescent="0.25">
      <c r="B90" t="str">
        <f>IF(F90="","",IF(F90="end","test_end",F90&amp;"_"&amp;COUNTIF($F$2:F90,F90)))</f>
        <v/>
      </c>
      <c r="C90" s="1"/>
      <c r="E90" t="str">
        <f t="shared" si="1"/>
        <v/>
      </c>
      <c r="K90" s="3" t="str">
        <f>IFERROR(_xlfn.XLOOKUP(F90,'CTA Actions'!$A$2:$A$7,'CTA Actions'!$B$2:$B$7),"")</f>
        <v/>
      </c>
    </row>
    <row r="91" spans="2:11" x14ac:dyDescent="0.25">
      <c r="B91" t="str">
        <f>IF(F91="","",IF(F91="end","test_end",F91&amp;"_"&amp;COUNTIF($F$2:F91,F91)))</f>
        <v/>
      </c>
      <c r="C91" s="1"/>
      <c r="E91" t="str">
        <f t="shared" si="1"/>
        <v/>
      </c>
      <c r="K91" s="3" t="str">
        <f>IFERROR(_xlfn.XLOOKUP(F91,'CTA Actions'!$A$2:$A$7,'CTA Actions'!$B$2:$B$7),"")</f>
        <v/>
      </c>
    </row>
    <row r="92" spans="2:11" x14ac:dyDescent="0.25">
      <c r="B92" t="str">
        <f>IF(F92="","",IF(F92="end","test_end",F92&amp;"_"&amp;COUNTIF($F$2:F92,F92)))</f>
        <v/>
      </c>
      <c r="C92" s="1"/>
      <c r="E92" t="str">
        <f t="shared" si="1"/>
        <v/>
      </c>
      <c r="K92" s="3" t="str">
        <f>IFERROR(_xlfn.XLOOKUP(F92,'CTA Actions'!$A$2:$A$7,'CTA Actions'!$B$2:$B$7),"")</f>
        <v/>
      </c>
    </row>
    <row r="93" spans="2:11" x14ac:dyDescent="0.25">
      <c r="B93" t="str">
        <f>IF(F93="","",IF(F93="end","test_end",F93&amp;"_"&amp;COUNTIF($F$2:F93,F93)))</f>
        <v/>
      </c>
      <c r="C93" s="1"/>
      <c r="E93" t="str">
        <f t="shared" si="1"/>
        <v/>
      </c>
      <c r="K93" s="3" t="str">
        <f>IFERROR(_xlfn.XLOOKUP(F93,'CTA Actions'!$A$2:$A$7,'CTA Actions'!$B$2:$B$7),"")</f>
        <v/>
      </c>
    </row>
    <row r="94" spans="2:11" x14ac:dyDescent="0.25">
      <c r="B94" t="str">
        <f>IF(F94="","",IF(F94="end","test_end",F94&amp;"_"&amp;COUNTIF($F$2:F94,F94)))</f>
        <v/>
      </c>
      <c r="C94" s="1"/>
      <c r="E94" t="str">
        <f t="shared" si="1"/>
        <v/>
      </c>
      <c r="K94" s="3" t="str">
        <f>IFERROR(_xlfn.XLOOKUP(F94,'CTA Actions'!$A$2:$A$7,'CTA Actions'!$B$2:$B$7),"")</f>
        <v/>
      </c>
    </row>
    <row r="95" spans="2:11" x14ac:dyDescent="0.25">
      <c r="B95" t="str">
        <f>IF(F95="","",IF(F95="end","test_end",F95&amp;"_"&amp;COUNTIF($F$2:F95,F95)))</f>
        <v/>
      </c>
      <c r="C95" s="1"/>
      <c r="E95" t="str">
        <f t="shared" si="1"/>
        <v/>
      </c>
      <c r="K95" s="3" t="str">
        <f>IFERROR(_xlfn.XLOOKUP(F95,'CTA Actions'!$A$2:$A$7,'CTA Actions'!$B$2:$B$7),"")</f>
        <v/>
      </c>
    </row>
    <row r="96" spans="2:11" x14ac:dyDescent="0.25">
      <c r="B96" t="str">
        <f>IF(F96="","",IF(F96="end","test_end",F96&amp;"_"&amp;COUNTIF($F$2:F96,F96)))</f>
        <v/>
      </c>
      <c r="C96" s="1"/>
      <c r="E96" t="str">
        <f t="shared" si="1"/>
        <v/>
      </c>
      <c r="K96" s="3" t="str">
        <f>IFERROR(_xlfn.XLOOKUP(F96,'CTA Actions'!$A$2:$A$7,'CTA Actions'!$B$2:$B$7),"")</f>
        <v/>
      </c>
    </row>
    <row r="97" spans="2:11" x14ac:dyDescent="0.25">
      <c r="B97" t="str">
        <f>IF(F97="","",IF(F97="end","test_end",F97&amp;"_"&amp;COUNTIF($F$2:F97,F97)))</f>
        <v/>
      </c>
      <c r="C97" s="1"/>
      <c r="E97" t="str">
        <f t="shared" si="1"/>
        <v/>
      </c>
      <c r="K97" s="3" t="str">
        <f>IFERROR(_xlfn.XLOOKUP(F97,'CTA Actions'!$A$2:$A$7,'CTA Actions'!$B$2:$B$7),"")</f>
        <v/>
      </c>
    </row>
    <row r="98" spans="2:11" x14ac:dyDescent="0.25">
      <c r="B98" t="str">
        <f>IF(F98="","",IF(F98="end","test_end",F98&amp;"_"&amp;COUNTIF($F$2:F98,F98)))</f>
        <v/>
      </c>
      <c r="C98" s="1"/>
      <c r="E98" t="str">
        <f t="shared" si="1"/>
        <v/>
      </c>
      <c r="K98" s="3" t="str">
        <f>IFERROR(_xlfn.XLOOKUP(F98,'CTA Actions'!$A$2:$A$7,'CTA Actions'!$B$2:$B$7),"")</f>
        <v/>
      </c>
    </row>
    <row r="99" spans="2:11" x14ac:dyDescent="0.25">
      <c r="B99" t="str">
        <f>IF(F99="","",IF(F99="end","test_end",F99&amp;"_"&amp;COUNTIF($F$2:F99,F99)))</f>
        <v/>
      </c>
      <c r="C99" s="1"/>
      <c r="E99" t="str">
        <f t="shared" si="1"/>
        <v/>
      </c>
      <c r="K99" s="3" t="str">
        <f>IFERROR(_xlfn.XLOOKUP(F99,'CTA Actions'!$A$2:$A$7,'CTA Actions'!$B$2:$B$7),"")</f>
        <v/>
      </c>
    </row>
    <row r="100" spans="2:11" x14ac:dyDescent="0.25">
      <c r="B100" t="str">
        <f>IF(F100="","",IF(F100="end","test_end",F100&amp;"_"&amp;COUNTIF($F$2:F100,F100)))</f>
        <v/>
      </c>
      <c r="C100" s="1"/>
      <c r="E100" t="str">
        <f t="shared" si="1"/>
        <v/>
      </c>
      <c r="K100" s="3" t="str">
        <f>IFERROR(_xlfn.XLOOKUP(F100,'CTA Actions'!$A$2:$A$7,'CTA Actions'!$B$2:$B$7),"")</f>
        <v/>
      </c>
    </row>
    <row r="101" spans="2:11" x14ac:dyDescent="0.25">
      <c r="B101" t="str">
        <f>IF(F101="","",IF(F101="end","test_end",F101&amp;"_"&amp;COUNTIF($F$2:F101,F101)))</f>
        <v/>
      </c>
      <c r="C101" s="1"/>
      <c r="E101" t="str">
        <f t="shared" si="1"/>
        <v/>
      </c>
      <c r="K101" s="3" t="str">
        <f>IFERROR(_xlfn.XLOOKUP(F101,'CTA Actions'!$A$2:$A$7,'CTA Actions'!$B$2:$B$7),"")</f>
        <v/>
      </c>
    </row>
    <row r="102" spans="2:11" x14ac:dyDescent="0.25">
      <c r="B102" t="str">
        <f>IF(F102="","",IF(F102="end","test_end",F102&amp;"_"&amp;COUNTIF($F$2:F102,F102)))</f>
        <v/>
      </c>
      <c r="C102" s="1"/>
      <c r="E102" t="str">
        <f t="shared" si="1"/>
        <v/>
      </c>
      <c r="K102" s="3" t="str">
        <f>IFERROR(_xlfn.XLOOKUP(F102,'CTA Actions'!$A$2:$A$7,'CTA Actions'!$B$2:$B$7),"")</f>
        <v/>
      </c>
    </row>
    <row r="103" spans="2:11" x14ac:dyDescent="0.25">
      <c r="B103" t="str">
        <f>IF(F103="","",IF(F103="end","test_end",F103&amp;"_"&amp;COUNTIF($F$2:F103,F103)))</f>
        <v/>
      </c>
      <c r="C103" s="1"/>
      <c r="E103" t="str">
        <f t="shared" si="1"/>
        <v/>
      </c>
      <c r="K103" s="3" t="str">
        <f>IFERROR(_xlfn.XLOOKUP(F103,'CTA Actions'!$A$2:$A$7,'CTA Actions'!$B$2:$B$7),"")</f>
        <v/>
      </c>
    </row>
    <row r="104" spans="2:11" x14ac:dyDescent="0.25">
      <c r="B104" t="str">
        <f>IF(F104="","",IF(F104="end","test_end",F104&amp;"_"&amp;COUNTIF($F$2:F104,F104)))</f>
        <v/>
      </c>
      <c r="C104" s="1"/>
      <c r="E104" t="str">
        <f t="shared" si="1"/>
        <v/>
      </c>
      <c r="K104" s="3" t="str">
        <f>IFERROR(_xlfn.XLOOKUP(F104,'CTA Actions'!$A$2:$A$7,'CTA Actions'!$B$2:$B$7),"")</f>
        <v/>
      </c>
    </row>
    <row r="105" spans="2:11" x14ac:dyDescent="0.25">
      <c r="B105" t="str">
        <f>IF(F105="","",IF(F105="end","test_end",F105&amp;"_"&amp;COUNTIF($F$2:F105,F105)))</f>
        <v/>
      </c>
      <c r="C105" s="1"/>
      <c r="E105" t="str">
        <f t="shared" si="1"/>
        <v/>
      </c>
      <c r="K105" s="3" t="str">
        <f>IFERROR(_xlfn.XLOOKUP(F105,'CTA Actions'!$A$2:$A$7,'CTA Actions'!$B$2:$B$7),"")</f>
        <v/>
      </c>
    </row>
    <row r="106" spans="2:11" x14ac:dyDescent="0.25">
      <c r="B106" t="str">
        <f>IF(F106="","",IF(F106="end","test_end",F106&amp;"_"&amp;COUNTIF($F$2:F106,F106)))</f>
        <v/>
      </c>
      <c r="C106" s="1"/>
      <c r="E106" t="str">
        <f t="shared" si="1"/>
        <v/>
      </c>
      <c r="K106" s="3" t="str">
        <f>IFERROR(_xlfn.XLOOKUP(F106,'CTA Actions'!$A$2:$A$7,'CTA Actions'!$B$2:$B$7),"")</f>
        <v/>
      </c>
    </row>
    <row r="107" spans="2:11" x14ac:dyDescent="0.25">
      <c r="B107" t="str">
        <f>IF(F107="","",IF(F107="end","test_end",F107&amp;"_"&amp;COUNTIF($F$2:F107,F107)))</f>
        <v/>
      </c>
      <c r="C107" s="1"/>
      <c r="E107" t="str">
        <f t="shared" si="1"/>
        <v/>
      </c>
      <c r="K107" s="3" t="str">
        <f>IFERROR(_xlfn.XLOOKUP(F107,'CTA Actions'!$A$2:$A$7,'CTA Actions'!$B$2:$B$7),"")</f>
        <v/>
      </c>
    </row>
    <row r="108" spans="2:11" x14ac:dyDescent="0.25">
      <c r="B108" t="str">
        <f>IF(F108="","",IF(F108="end","test_end",F108&amp;"_"&amp;COUNTIF($F$2:F108,F108)))</f>
        <v/>
      </c>
      <c r="C108" s="1"/>
      <c r="E108" t="str">
        <f t="shared" si="1"/>
        <v/>
      </c>
      <c r="K108" s="3" t="str">
        <f>IFERROR(_xlfn.XLOOKUP(F108,'CTA Actions'!$A$2:$A$7,'CTA Actions'!$B$2:$B$7),"")</f>
        <v/>
      </c>
    </row>
    <row r="109" spans="2:11" x14ac:dyDescent="0.25">
      <c r="B109" t="str">
        <f>IF(F109="","",IF(F109="end","test_end",F109&amp;"_"&amp;COUNTIF($F$2:F109,F109)))</f>
        <v/>
      </c>
      <c r="C109" s="1"/>
      <c r="E109" t="str">
        <f t="shared" si="1"/>
        <v/>
      </c>
      <c r="K109" s="3" t="str">
        <f>IFERROR(_xlfn.XLOOKUP(F109,'CTA Actions'!$A$2:$A$7,'CTA Actions'!$B$2:$B$7),"")</f>
        <v/>
      </c>
    </row>
    <row r="110" spans="2:11" x14ac:dyDescent="0.25">
      <c r="B110" t="str">
        <f>IF(F110="","",IF(F110="end","test_end",F110&amp;"_"&amp;COUNTIF($F$2:F110,F110)))</f>
        <v/>
      </c>
      <c r="C110" s="1"/>
      <c r="E110" t="str">
        <f t="shared" si="1"/>
        <v/>
      </c>
      <c r="K110" s="3" t="str">
        <f>IFERROR(_xlfn.XLOOKUP(F110,'CTA Actions'!$A$2:$A$7,'CTA Actions'!$B$2:$B$7),"")</f>
        <v/>
      </c>
    </row>
    <row r="111" spans="2:11" x14ac:dyDescent="0.25">
      <c r="B111" t="str">
        <f>IF(F111="","",IF(F111="end","test_end",F111&amp;"_"&amp;COUNTIF($F$2:F111,F111)))</f>
        <v/>
      </c>
      <c r="C111" s="1"/>
      <c r="E111" t="str">
        <f t="shared" si="1"/>
        <v/>
      </c>
      <c r="K111" s="3" t="str">
        <f>IFERROR(_xlfn.XLOOKUP(F111,'CTA Actions'!$A$2:$A$7,'CTA Actions'!$B$2:$B$7),"")</f>
        <v/>
      </c>
    </row>
    <row r="112" spans="2:11" x14ac:dyDescent="0.25">
      <c r="B112" t="str">
        <f>IF(F112="","",IF(F112="end","test_end",F112&amp;"_"&amp;COUNTIF($F$2:F112,F112)))</f>
        <v/>
      </c>
      <c r="C112" s="1"/>
      <c r="E112" t="str">
        <f t="shared" si="1"/>
        <v/>
      </c>
      <c r="K112" s="3" t="str">
        <f>IFERROR(_xlfn.XLOOKUP(F112,'CTA Actions'!$A$2:$A$7,'CTA Actions'!$B$2:$B$7),"")</f>
        <v/>
      </c>
    </row>
    <row r="113" spans="2:11" x14ac:dyDescent="0.25">
      <c r="B113" t="str">
        <f>IF(F113="","",IF(F113="end","test_end",F113&amp;"_"&amp;COUNTIF($F$2:F113,F113)))</f>
        <v/>
      </c>
      <c r="C113" s="1"/>
      <c r="E113" t="str">
        <f t="shared" si="1"/>
        <v/>
      </c>
      <c r="K113" s="3" t="str">
        <f>IFERROR(_xlfn.XLOOKUP(F113,'CTA Actions'!$A$2:$A$7,'CTA Actions'!$B$2:$B$7),"")</f>
        <v/>
      </c>
    </row>
    <row r="114" spans="2:11" x14ac:dyDescent="0.25">
      <c r="B114" t="str">
        <f>IF(F114="","",IF(F114="end","test_end",F114&amp;"_"&amp;COUNTIF($F$2:F114,F114)))</f>
        <v/>
      </c>
      <c r="C114" s="1"/>
      <c r="E114" t="str">
        <f t="shared" si="1"/>
        <v/>
      </c>
      <c r="K114" s="3" t="str">
        <f>IFERROR(_xlfn.XLOOKUP(F114,'CTA Actions'!$A$2:$A$7,'CTA Actions'!$B$2:$B$7),"")</f>
        <v/>
      </c>
    </row>
    <row r="115" spans="2:11" x14ac:dyDescent="0.25">
      <c r="B115" t="str">
        <f>IF(F115="","",IF(F115="end","test_end",F115&amp;"_"&amp;COUNTIF($F$2:F115,F115)))</f>
        <v/>
      </c>
      <c r="C115" s="1"/>
      <c r="E115" t="str">
        <f t="shared" si="1"/>
        <v/>
      </c>
      <c r="K115" s="3" t="str">
        <f>IFERROR(_xlfn.XLOOKUP(F115,'CTA Actions'!$A$2:$A$7,'CTA Actions'!$B$2:$B$7),"")</f>
        <v/>
      </c>
    </row>
    <row r="116" spans="2:11" x14ac:dyDescent="0.25">
      <c r="B116" t="str">
        <f>IF(F116="","",IF(F116="end","test_end",F116&amp;"_"&amp;COUNTIF($F$2:F116,F116)))</f>
        <v/>
      </c>
      <c r="C116" s="1"/>
      <c r="E116" t="str">
        <f t="shared" si="1"/>
        <v/>
      </c>
      <c r="K116" s="3" t="str">
        <f>IFERROR(_xlfn.XLOOKUP(F116,'CTA Actions'!$A$2:$A$7,'CTA Actions'!$B$2:$B$7),"")</f>
        <v/>
      </c>
    </row>
    <row r="117" spans="2:11" x14ac:dyDescent="0.25">
      <c r="B117" t="str">
        <f>IF(F117="","",IF(F117="end","test_end",F117&amp;"_"&amp;COUNTIF($F$2:F117,F117)))</f>
        <v/>
      </c>
      <c r="C117" s="1"/>
      <c r="E117" t="str">
        <f t="shared" si="1"/>
        <v/>
      </c>
      <c r="K117" s="3" t="str">
        <f>IFERROR(_xlfn.XLOOKUP(F117,'CTA Actions'!$A$2:$A$7,'CTA Actions'!$B$2:$B$7),"")</f>
        <v/>
      </c>
    </row>
    <row r="118" spans="2:11" x14ac:dyDescent="0.25">
      <c r="B118" t="str">
        <f>IF(F118="","",IF(F118="end","test_end",F118&amp;"_"&amp;COUNTIF($F$2:F118,F118)))</f>
        <v/>
      </c>
      <c r="C118" s="1"/>
      <c r="E118" t="str">
        <f t="shared" si="1"/>
        <v/>
      </c>
      <c r="K118" s="3" t="str">
        <f>IFERROR(_xlfn.XLOOKUP(F118,'CTA Actions'!$A$2:$A$7,'CTA Actions'!$B$2:$B$7),"")</f>
        <v/>
      </c>
    </row>
    <row r="119" spans="2:11" x14ac:dyDescent="0.25">
      <c r="B119" t="str">
        <f>IF(F119="","",IF(F119="end","test_end",F119&amp;"_"&amp;COUNTIF($F$2:F119,F119)))</f>
        <v/>
      </c>
      <c r="C119" s="1"/>
      <c r="E119" t="str">
        <f t="shared" si="1"/>
        <v/>
      </c>
      <c r="K119" s="3" t="str">
        <f>IFERROR(_xlfn.XLOOKUP(F119,'CTA Actions'!$A$2:$A$7,'CTA Actions'!$B$2:$B$7),"")</f>
        <v/>
      </c>
    </row>
    <row r="120" spans="2:11" x14ac:dyDescent="0.25">
      <c r="B120" t="str">
        <f>IF(F120="","",IF(F120="end","test_end",F120&amp;"_"&amp;COUNTIF($F$2:F120,F120)))</f>
        <v/>
      </c>
      <c r="C120" s="1"/>
      <c r="E120" t="str">
        <f t="shared" si="1"/>
        <v/>
      </c>
      <c r="K120" s="3" t="str">
        <f>IFERROR(_xlfn.XLOOKUP(F120,'CTA Actions'!$A$2:$A$7,'CTA Actions'!$B$2:$B$7),"")</f>
        <v/>
      </c>
    </row>
    <row r="121" spans="2:11" x14ac:dyDescent="0.25">
      <c r="B121" t="str">
        <f>IF(F121="","",IF(F121="end","test_end",F121&amp;"_"&amp;COUNTIF($F$2:F121,F121)))</f>
        <v/>
      </c>
      <c r="C121" s="1"/>
      <c r="E121" t="str">
        <f t="shared" si="1"/>
        <v/>
      </c>
      <c r="K121" s="3" t="str">
        <f>IFERROR(_xlfn.XLOOKUP(F121,'CTA Actions'!$A$2:$A$7,'CTA Actions'!$B$2:$B$7),"")</f>
        <v/>
      </c>
    </row>
    <row r="122" spans="2:11" x14ac:dyDescent="0.25">
      <c r="B122" t="str">
        <f>IF(F122="","",IF(F122="end","test_end",F122&amp;"_"&amp;COUNTIF($F$2:F122,F122)))</f>
        <v/>
      </c>
      <c r="C122" s="1"/>
      <c r="E122" t="str">
        <f t="shared" si="1"/>
        <v/>
      </c>
      <c r="K122" s="3" t="str">
        <f>IFERROR(_xlfn.XLOOKUP(F122,'CTA Actions'!$A$2:$A$7,'CTA Actions'!$B$2:$B$7),"")</f>
        <v/>
      </c>
    </row>
    <row r="123" spans="2:11" x14ac:dyDescent="0.25">
      <c r="B123" t="str">
        <f>IF(F123="","",IF(F123="end","test_end",F123&amp;"_"&amp;COUNTIF($F$2:F123,F123)))</f>
        <v/>
      </c>
      <c r="C123" s="1"/>
      <c r="E123" t="str">
        <f t="shared" si="1"/>
        <v/>
      </c>
      <c r="K123" s="3" t="str">
        <f>IFERROR(_xlfn.XLOOKUP(F123,'CTA Actions'!$A$2:$A$7,'CTA Actions'!$B$2:$B$7),"")</f>
        <v/>
      </c>
    </row>
    <row r="124" spans="2:11" x14ac:dyDescent="0.25">
      <c r="B124" t="str">
        <f>IF(F124="","",IF(F124="end","test_end",F124&amp;"_"&amp;COUNTIF($F$2:F124,F124)))</f>
        <v/>
      </c>
      <c r="C124" s="1"/>
      <c r="E124" t="str">
        <f t="shared" si="1"/>
        <v/>
      </c>
      <c r="K124" s="3" t="str">
        <f>IFERROR(_xlfn.XLOOKUP(F124,'CTA Actions'!$A$2:$A$7,'CTA Actions'!$B$2:$B$7),"")</f>
        <v/>
      </c>
    </row>
    <row r="125" spans="2:11" x14ac:dyDescent="0.25">
      <c r="B125" t="str">
        <f>IF(F125="","",IF(F125="end","test_end",F125&amp;"_"&amp;COUNTIF($F$2:F125,F125)))</f>
        <v/>
      </c>
      <c r="C125" s="1"/>
      <c r="E125" t="str">
        <f t="shared" si="1"/>
        <v/>
      </c>
      <c r="K125" s="3" t="str">
        <f>IFERROR(_xlfn.XLOOKUP(F125,'CTA Actions'!$A$2:$A$7,'CTA Actions'!$B$2:$B$7),"")</f>
        <v/>
      </c>
    </row>
    <row r="126" spans="2:11" x14ac:dyDescent="0.25">
      <c r="B126" t="str">
        <f>IF(F126="","",IF(F126="end","test_end",F126&amp;"_"&amp;COUNTIF($F$2:F126,F126)))</f>
        <v/>
      </c>
      <c r="C126" s="1"/>
      <c r="E126" t="str">
        <f t="shared" si="1"/>
        <v/>
      </c>
      <c r="K126" s="3" t="str">
        <f>IFERROR(_xlfn.XLOOKUP(F126,'CTA Actions'!$A$2:$A$7,'CTA Actions'!$B$2:$B$7),"")</f>
        <v/>
      </c>
    </row>
    <row r="127" spans="2:11" x14ac:dyDescent="0.25">
      <c r="B127" t="str">
        <f>IF(F127="","",IF(F127="end","test_end",F127&amp;"_"&amp;COUNTIF($F$2:F127,F127)))</f>
        <v/>
      </c>
      <c r="C127" s="1"/>
      <c r="E127" t="str">
        <f t="shared" si="1"/>
        <v/>
      </c>
      <c r="K127" s="3" t="str">
        <f>IFERROR(_xlfn.XLOOKUP(F127,'CTA Actions'!$A$2:$A$7,'CTA Actions'!$B$2:$B$7),"")</f>
        <v/>
      </c>
    </row>
    <row r="128" spans="2:11" x14ac:dyDescent="0.25">
      <c r="B128" t="str">
        <f>IF(F128="","",IF(F128="end","test_end",F128&amp;"_"&amp;COUNTIF($F$2:F128,F128)))</f>
        <v/>
      </c>
      <c r="C128" s="1"/>
      <c r="E128" t="str">
        <f t="shared" si="1"/>
        <v/>
      </c>
      <c r="K128" s="3" t="str">
        <f>IFERROR(_xlfn.XLOOKUP(F128,'CTA Actions'!$A$2:$A$7,'CTA Actions'!$B$2:$B$7),"")</f>
        <v/>
      </c>
    </row>
    <row r="129" spans="2:11" x14ac:dyDescent="0.25">
      <c r="B129" t="str">
        <f>IF(F129="","",IF(F129="end","test_end",F129&amp;"_"&amp;COUNTIF($F$2:F129,F129)))</f>
        <v/>
      </c>
      <c r="C129" s="1"/>
      <c r="E129" t="str">
        <f t="shared" si="1"/>
        <v/>
      </c>
      <c r="K129" s="3" t="str">
        <f>IFERROR(_xlfn.XLOOKUP(F129,'CTA Actions'!$A$2:$A$7,'CTA Actions'!$B$2:$B$7),"")</f>
        <v/>
      </c>
    </row>
    <row r="130" spans="2:11" x14ac:dyDescent="0.25">
      <c r="B130" t="str">
        <f>IF(F130="","",IF(F130="end","test_end",F130&amp;"_"&amp;COUNTIF($F$2:F130,F130)))</f>
        <v/>
      </c>
      <c r="C130" s="1"/>
      <c r="E130" t="str">
        <f t="shared" si="1"/>
        <v/>
      </c>
      <c r="K130" s="3" t="str">
        <f>IFERROR(_xlfn.XLOOKUP(F130,'CTA Actions'!$A$2:$A$7,'CTA Actions'!$B$2:$B$7),"")</f>
        <v/>
      </c>
    </row>
    <row r="131" spans="2:11" x14ac:dyDescent="0.25">
      <c r="B131" t="str">
        <f>IF(F131="","",IF(F131="end","test_end",F131&amp;"_"&amp;COUNTIF($F$2:F131,F131)))</f>
        <v/>
      </c>
      <c r="C131" s="1"/>
      <c r="E131" t="str">
        <f t="shared" ref="E131:E194" si="2">IF(F131="","",IF(F131="water_draw","water_draw",IF(F131="end","test","cta")))</f>
        <v/>
      </c>
      <c r="K131" s="3" t="str">
        <f>IFERROR(_xlfn.XLOOKUP(F131,'CTA Actions'!$A$2:$A$7,'CTA Actions'!$B$2:$B$7),"")</f>
        <v/>
      </c>
    </row>
    <row r="132" spans="2:11" x14ac:dyDescent="0.25">
      <c r="B132" t="str">
        <f>IF(F132="","",IF(F132="end","test_end",F132&amp;"_"&amp;COUNTIF($F$2:F132,F132)))</f>
        <v/>
      </c>
      <c r="C132" s="1"/>
      <c r="E132" t="str">
        <f t="shared" si="2"/>
        <v/>
      </c>
      <c r="K132" s="3" t="str">
        <f>IFERROR(_xlfn.XLOOKUP(F132,'CTA Actions'!$A$2:$A$7,'CTA Actions'!$B$2:$B$7),"")</f>
        <v/>
      </c>
    </row>
    <row r="133" spans="2:11" x14ac:dyDescent="0.25">
      <c r="B133" t="str">
        <f>IF(F133="","",IF(F133="end","test_end",F133&amp;"_"&amp;COUNTIF($F$2:F133,F133)))</f>
        <v/>
      </c>
      <c r="C133" s="1"/>
      <c r="E133" t="str">
        <f t="shared" si="2"/>
        <v/>
      </c>
      <c r="K133" s="3" t="str">
        <f>IFERROR(_xlfn.XLOOKUP(F133,'CTA Actions'!$A$2:$A$7,'CTA Actions'!$B$2:$B$7),"")</f>
        <v/>
      </c>
    </row>
    <row r="134" spans="2:11" x14ac:dyDescent="0.25">
      <c r="B134" t="str">
        <f>IF(F134="","",IF(F134="end","test_end",F134&amp;"_"&amp;COUNTIF($F$2:F134,F134)))</f>
        <v/>
      </c>
      <c r="C134" s="1"/>
      <c r="E134" t="str">
        <f t="shared" si="2"/>
        <v/>
      </c>
      <c r="K134" s="3" t="str">
        <f>IFERROR(_xlfn.XLOOKUP(F134,'CTA Actions'!$A$2:$A$7,'CTA Actions'!$B$2:$B$7),"")</f>
        <v/>
      </c>
    </row>
    <row r="135" spans="2:11" x14ac:dyDescent="0.25">
      <c r="B135" t="str">
        <f>IF(F135="","",IF(F135="end","test_end",F135&amp;"_"&amp;COUNTIF($F$2:F135,F135)))</f>
        <v/>
      </c>
      <c r="C135" s="1"/>
      <c r="E135" t="str">
        <f t="shared" si="2"/>
        <v/>
      </c>
      <c r="K135" s="3" t="str">
        <f>IFERROR(_xlfn.XLOOKUP(F135,'CTA Actions'!$A$2:$A$7,'CTA Actions'!$B$2:$B$7),"")</f>
        <v/>
      </c>
    </row>
    <row r="136" spans="2:11" x14ac:dyDescent="0.25">
      <c r="B136" t="str">
        <f>IF(F136="","",IF(F136="end","test_end",F136&amp;"_"&amp;COUNTIF($F$2:F136,F136)))</f>
        <v/>
      </c>
      <c r="C136" s="1"/>
      <c r="E136" t="str">
        <f t="shared" si="2"/>
        <v/>
      </c>
      <c r="K136" s="3" t="str">
        <f>IFERROR(_xlfn.XLOOKUP(F136,'CTA Actions'!$A$2:$A$7,'CTA Actions'!$B$2:$B$7),"")</f>
        <v/>
      </c>
    </row>
    <row r="137" spans="2:11" x14ac:dyDescent="0.25">
      <c r="B137" t="str">
        <f>IF(F137="","",IF(F137="end","test_end",F137&amp;"_"&amp;COUNTIF($F$2:F137,F137)))</f>
        <v/>
      </c>
      <c r="C137" s="1"/>
      <c r="E137" t="str">
        <f t="shared" si="2"/>
        <v/>
      </c>
      <c r="K137" s="3" t="str">
        <f>IFERROR(_xlfn.XLOOKUP(F137,'CTA Actions'!$A$2:$A$7,'CTA Actions'!$B$2:$B$7),"")</f>
        <v/>
      </c>
    </row>
    <row r="138" spans="2:11" x14ac:dyDescent="0.25">
      <c r="B138" t="str">
        <f>IF(F138="","",IF(F138="end","test_end",F138&amp;"_"&amp;COUNTIF($F$2:F138,F138)))</f>
        <v/>
      </c>
      <c r="C138" s="1"/>
      <c r="E138" t="str">
        <f t="shared" si="2"/>
        <v/>
      </c>
      <c r="K138" s="3" t="str">
        <f>IFERROR(_xlfn.XLOOKUP(F138,'CTA Actions'!$A$2:$A$7,'CTA Actions'!$B$2:$B$7),"")</f>
        <v/>
      </c>
    </row>
    <row r="139" spans="2:11" x14ac:dyDescent="0.25">
      <c r="B139" t="str">
        <f>IF(F139="","",IF(F139="end","test_end",F139&amp;"_"&amp;COUNTIF($F$2:F139,F139)))</f>
        <v/>
      </c>
      <c r="C139" s="1"/>
      <c r="E139" t="str">
        <f t="shared" si="2"/>
        <v/>
      </c>
      <c r="K139" s="3" t="str">
        <f>IFERROR(_xlfn.XLOOKUP(F139,'CTA Actions'!$A$2:$A$7,'CTA Actions'!$B$2:$B$7),"")</f>
        <v/>
      </c>
    </row>
    <row r="140" spans="2:11" x14ac:dyDescent="0.25">
      <c r="B140" t="str">
        <f>IF(F140="","",IF(F140="end","test_end",F140&amp;"_"&amp;COUNTIF($F$2:F140,F140)))</f>
        <v/>
      </c>
      <c r="C140" s="1"/>
      <c r="E140" t="str">
        <f t="shared" si="2"/>
        <v/>
      </c>
      <c r="K140" s="3" t="str">
        <f>IFERROR(_xlfn.XLOOKUP(F140,'CTA Actions'!$A$2:$A$7,'CTA Actions'!$B$2:$B$7),"")</f>
        <v/>
      </c>
    </row>
    <row r="141" spans="2:11" x14ac:dyDescent="0.25">
      <c r="B141" t="str">
        <f>IF(F141="","",IF(F141="end","test_end",F141&amp;"_"&amp;COUNTIF($F$2:F141,F141)))</f>
        <v/>
      </c>
      <c r="C141" s="1"/>
      <c r="E141" t="str">
        <f t="shared" si="2"/>
        <v/>
      </c>
      <c r="K141" s="3" t="str">
        <f>IFERROR(_xlfn.XLOOKUP(F141,'CTA Actions'!$A$2:$A$7,'CTA Actions'!$B$2:$B$7),"")</f>
        <v/>
      </c>
    </row>
    <row r="142" spans="2:11" x14ac:dyDescent="0.25">
      <c r="B142" t="str">
        <f>IF(F142="","",IF(F142="end","test_end",F142&amp;"_"&amp;COUNTIF($F$2:F142,F142)))</f>
        <v/>
      </c>
      <c r="C142" s="1"/>
      <c r="E142" t="str">
        <f t="shared" si="2"/>
        <v/>
      </c>
      <c r="K142" s="3" t="str">
        <f>IFERROR(_xlfn.XLOOKUP(F142,'CTA Actions'!$A$2:$A$7,'CTA Actions'!$B$2:$B$7),"")</f>
        <v/>
      </c>
    </row>
    <row r="143" spans="2:11" x14ac:dyDescent="0.25">
      <c r="B143" t="str">
        <f>IF(F143="","",IF(F143="end","test_end",F143&amp;"_"&amp;COUNTIF($F$2:F143,F143)))</f>
        <v/>
      </c>
      <c r="C143" s="1"/>
      <c r="E143" t="str">
        <f t="shared" si="2"/>
        <v/>
      </c>
      <c r="K143" s="3" t="str">
        <f>IFERROR(_xlfn.XLOOKUP(F143,'CTA Actions'!$A$2:$A$7,'CTA Actions'!$B$2:$B$7),"")</f>
        <v/>
      </c>
    </row>
    <row r="144" spans="2:11" x14ac:dyDescent="0.25">
      <c r="B144" t="str">
        <f>IF(F144="","",IF(F144="end","test_end",F144&amp;"_"&amp;COUNTIF($F$2:F144,F144)))</f>
        <v/>
      </c>
      <c r="C144" s="1"/>
      <c r="E144" t="str">
        <f t="shared" si="2"/>
        <v/>
      </c>
      <c r="K144" s="3" t="str">
        <f>IFERROR(_xlfn.XLOOKUP(F144,'CTA Actions'!$A$2:$A$7,'CTA Actions'!$B$2:$B$7),"")</f>
        <v/>
      </c>
    </row>
    <row r="145" spans="2:11" x14ac:dyDescent="0.25">
      <c r="B145" t="str">
        <f>IF(F145="","",IF(F145="end","test_end",F145&amp;"_"&amp;COUNTIF($F$2:F145,F145)))</f>
        <v/>
      </c>
      <c r="C145" s="1"/>
      <c r="E145" t="str">
        <f t="shared" si="2"/>
        <v/>
      </c>
      <c r="K145" s="3" t="str">
        <f>IFERROR(_xlfn.XLOOKUP(F145,'CTA Actions'!$A$2:$A$7,'CTA Actions'!$B$2:$B$7),"")</f>
        <v/>
      </c>
    </row>
    <row r="146" spans="2:11" x14ac:dyDescent="0.25">
      <c r="B146" t="str">
        <f>IF(F146="","",IF(F146="end","test_end",F146&amp;"_"&amp;COUNTIF($F$2:F146,F146)))</f>
        <v/>
      </c>
      <c r="C146" s="1"/>
      <c r="E146" t="str">
        <f t="shared" si="2"/>
        <v/>
      </c>
      <c r="K146" s="3" t="str">
        <f>IFERROR(_xlfn.XLOOKUP(F146,'CTA Actions'!$A$2:$A$7,'CTA Actions'!$B$2:$B$7),"")</f>
        <v/>
      </c>
    </row>
    <row r="147" spans="2:11" x14ac:dyDescent="0.25">
      <c r="B147" t="str">
        <f>IF(F147="","",IF(F147="end","test_end",F147&amp;"_"&amp;COUNTIF($F$2:F147,F147)))</f>
        <v/>
      </c>
      <c r="C147" s="1"/>
      <c r="E147" t="str">
        <f t="shared" si="2"/>
        <v/>
      </c>
      <c r="K147" s="3" t="str">
        <f>IFERROR(_xlfn.XLOOKUP(F147,'CTA Actions'!$A$2:$A$7,'CTA Actions'!$B$2:$B$7),"")</f>
        <v/>
      </c>
    </row>
    <row r="148" spans="2:11" x14ac:dyDescent="0.25">
      <c r="B148" t="str">
        <f>IF(F148="","",IF(F148="end","test_end",F148&amp;"_"&amp;COUNTIF($F$2:F148,F148)))</f>
        <v/>
      </c>
      <c r="C148" s="1"/>
      <c r="E148" t="str">
        <f t="shared" si="2"/>
        <v/>
      </c>
      <c r="K148" s="3" t="str">
        <f>IFERROR(_xlfn.XLOOKUP(F148,'CTA Actions'!$A$2:$A$7,'CTA Actions'!$B$2:$B$7),"")</f>
        <v/>
      </c>
    </row>
    <row r="149" spans="2:11" x14ac:dyDescent="0.25">
      <c r="B149" t="str">
        <f>IF(F149="","",IF(F149="end","test_end",F149&amp;"_"&amp;COUNTIF($F$2:F149,F149)))</f>
        <v/>
      </c>
      <c r="C149" s="1"/>
      <c r="E149" t="str">
        <f t="shared" si="2"/>
        <v/>
      </c>
      <c r="K149" s="3" t="str">
        <f>IFERROR(_xlfn.XLOOKUP(F149,'CTA Actions'!$A$2:$A$7,'CTA Actions'!$B$2:$B$7),"")</f>
        <v/>
      </c>
    </row>
    <row r="150" spans="2:11" x14ac:dyDescent="0.25">
      <c r="B150" t="str">
        <f>IF(F150="","",IF(F150="end","test_end",F150&amp;"_"&amp;COUNTIF($F$2:F150,F150)))</f>
        <v/>
      </c>
      <c r="C150" s="1"/>
      <c r="E150" t="str">
        <f t="shared" si="2"/>
        <v/>
      </c>
      <c r="K150" s="3" t="str">
        <f>IFERROR(_xlfn.XLOOKUP(F150,'CTA Actions'!$A$2:$A$7,'CTA Actions'!$B$2:$B$7),"")</f>
        <v/>
      </c>
    </row>
    <row r="151" spans="2:11" x14ac:dyDescent="0.25">
      <c r="B151" t="str">
        <f>IF(F151="","",IF(F151="end","test_end",F151&amp;"_"&amp;COUNTIF($F$2:F151,F151)))</f>
        <v/>
      </c>
      <c r="C151" s="1"/>
      <c r="E151" t="str">
        <f t="shared" si="2"/>
        <v/>
      </c>
      <c r="K151" s="3" t="str">
        <f>IFERROR(_xlfn.XLOOKUP(F151,'CTA Actions'!$A$2:$A$7,'CTA Actions'!$B$2:$B$7),"")</f>
        <v/>
      </c>
    </row>
    <row r="152" spans="2:11" x14ac:dyDescent="0.25">
      <c r="B152" t="str">
        <f>IF(F152="","",IF(F152="end","test_end",F152&amp;"_"&amp;COUNTIF($F$2:F152,F152)))</f>
        <v/>
      </c>
      <c r="C152" s="1"/>
      <c r="E152" t="str">
        <f t="shared" si="2"/>
        <v/>
      </c>
      <c r="K152" s="3" t="str">
        <f>IFERROR(_xlfn.XLOOKUP(F152,'CTA Actions'!$A$2:$A$7,'CTA Actions'!$B$2:$B$7),"")</f>
        <v/>
      </c>
    </row>
    <row r="153" spans="2:11" x14ac:dyDescent="0.25">
      <c r="B153" t="str">
        <f>IF(F153="","",IF(F153="end","test_end",F153&amp;"_"&amp;COUNTIF($F$2:F153,F153)))</f>
        <v/>
      </c>
      <c r="C153" s="1"/>
      <c r="E153" t="str">
        <f t="shared" si="2"/>
        <v/>
      </c>
      <c r="K153" s="3" t="str">
        <f>IFERROR(_xlfn.XLOOKUP(F153,'CTA Actions'!$A$2:$A$7,'CTA Actions'!$B$2:$B$7),"")</f>
        <v/>
      </c>
    </row>
    <row r="154" spans="2:11" x14ac:dyDescent="0.25">
      <c r="B154" t="str">
        <f>IF(F154="","",IF(F154="end","test_end",F154&amp;"_"&amp;COUNTIF($F$2:F154,F154)))</f>
        <v/>
      </c>
      <c r="C154" s="1"/>
      <c r="E154" t="str">
        <f t="shared" si="2"/>
        <v/>
      </c>
      <c r="K154" s="3" t="str">
        <f>IFERROR(_xlfn.XLOOKUP(F154,'CTA Actions'!$A$2:$A$7,'CTA Actions'!$B$2:$B$7),"")</f>
        <v/>
      </c>
    </row>
    <row r="155" spans="2:11" x14ac:dyDescent="0.25">
      <c r="B155" t="str">
        <f>IF(F155="","",IF(F155="end","test_end",F155&amp;"_"&amp;COUNTIF($F$2:F155,F155)))</f>
        <v/>
      </c>
      <c r="C155" s="1"/>
      <c r="E155" t="str">
        <f t="shared" si="2"/>
        <v/>
      </c>
      <c r="K155" s="3" t="str">
        <f>IFERROR(_xlfn.XLOOKUP(F155,'CTA Actions'!$A$2:$A$7,'CTA Actions'!$B$2:$B$7),"")</f>
        <v/>
      </c>
    </row>
    <row r="156" spans="2:11" x14ac:dyDescent="0.25">
      <c r="B156" t="str">
        <f>IF(F156="","",IF(F156="end","test_end",F156&amp;"_"&amp;COUNTIF($F$2:F156,F156)))</f>
        <v/>
      </c>
      <c r="C156" s="1"/>
      <c r="E156" t="str">
        <f t="shared" si="2"/>
        <v/>
      </c>
      <c r="K156" s="3" t="str">
        <f>IFERROR(_xlfn.XLOOKUP(F156,'CTA Actions'!$A$2:$A$7,'CTA Actions'!$B$2:$B$7),"")</f>
        <v/>
      </c>
    </row>
    <row r="157" spans="2:11" x14ac:dyDescent="0.25">
      <c r="B157" t="str">
        <f>IF(F157="","",IF(F157="end","test_end",F157&amp;"_"&amp;COUNTIF($F$2:F157,F157)))</f>
        <v/>
      </c>
      <c r="C157" s="1"/>
      <c r="E157" t="str">
        <f t="shared" si="2"/>
        <v/>
      </c>
      <c r="K157" s="3" t="str">
        <f>IFERROR(_xlfn.XLOOKUP(F157,'CTA Actions'!$A$2:$A$7,'CTA Actions'!$B$2:$B$7),"")</f>
        <v/>
      </c>
    </row>
    <row r="158" spans="2:11" x14ac:dyDescent="0.25">
      <c r="B158" t="str">
        <f>IF(F158="","",IF(F158="end","test_end",F158&amp;"_"&amp;COUNTIF($F$2:F158,F158)))</f>
        <v/>
      </c>
      <c r="C158" s="1"/>
      <c r="E158" t="str">
        <f t="shared" si="2"/>
        <v/>
      </c>
      <c r="K158" s="3" t="str">
        <f>IFERROR(_xlfn.XLOOKUP(F158,'CTA Actions'!$A$2:$A$7,'CTA Actions'!$B$2:$B$7),"")</f>
        <v/>
      </c>
    </row>
    <row r="159" spans="2:11" x14ac:dyDescent="0.25">
      <c r="B159" t="str">
        <f>IF(F159="","",IF(F159="end","test_end",F159&amp;"_"&amp;COUNTIF($F$2:F159,F159)))</f>
        <v/>
      </c>
      <c r="C159" s="1"/>
      <c r="E159" t="str">
        <f t="shared" si="2"/>
        <v/>
      </c>
      <c r="K159" s="3" t="str">
        <f>IFERROR(_xlfn.XLOOKUP(F159,'CTA Actions'!$A$2:$A$7,'CTA Actions'!$B$2:$B$7),"")</f>
        <v/>
      </c>
    </row>
    <row r="160" spans="2:11" x14ac:dyDescent="0.25">
      <c r="B160" t="str">
        <f>IF(F160="","",IF(F160="end","test_end",F160&amp;"_"&amp;COUNTIF($F$2:F160,F160)))</f>
        <v/>
      </c>
      <c r="C160" s="1"/>
      <c r="E160" t="str">
        <f t="shared" si="2"/>
        <v/>
      </c>
      <c r="K160" s="3" t="str">
        <f>IFERROR(_xlfn.XLOOKUP(F160,'CTA Actions'!$A$2:$A$7,'CTA Actions'!$B$2:$B$7),"")</f>
        <v/>
      </c>
    </row>
    <row r="161" spans="2:11" x14ac:dyDescent="0.25">
      <c r="B161" t="str">
        <f>IF(F161="","",IF(F161="end","test_end",F161&amp;"_"&amp;COUNTIF($F$2:F161,F161)))</f>
        <v/>
      </c>
      <c r="C161" s="1"/>
      <c r="E161" t="str">
        <f t="shared" si="2"/>
        <v/>
      </c>
      <c r="K161" s="3" t="str">
        <f>IFERROR(_xlfn.XLOOKUP(F161,'CTA Actions'!$A$2:$A$7,'CTA Actions'!$B$2:$B$7),"")</f>
        <v/>
      </c>
    </row>
    <row r="162" spans="2:11" x14ac:dyDescent="0.25">
      <c r="B162" t="str">
        <f>IF(F162="","",IF(F162="end","test_end",F162&amp;"_"&amp;COUNTIF($F$2:F162,F162)))</f>
        <v/>
      </c>
      <c r="C162" s="1"/>
      <c r="E162" t="str">
        <f t="shared" si="2"/>
        <v/>
      </c>
      <c r="K162" s="3" t="str">
        <f>IFERROR(_xlfn.XLOOKUP(F162,'CTA Actions'!$A$2:$A$7,'CTA Actions'!$B$2:$B$7),"")</f>
        <v/>
      </c>
    </row>
    <row r="163" spans="2:11" x14ac:dyDescent="0.25">
      <c r="B163" t="str">
        <f>IF(F163="","",IF(F163="end","test_end",F163&amp;"_"&amp;COUNTIF($F$2:F163,F163)))</f>
        <v/>
      </c>
      <c r="C163" s="1"/>
      <c r="E163" t="str">
        <f t="shared" si="2"/>
        <v/>
      </c>
      <c r="K163" s="3" t="str">
        <f>IFERROR(_xlfn.XLOOKUP(F163,'CTA Actions'!$A$2:$A$7,'CTA Actions'!$B$2:$B$7),"")</f>
        <v/>
      </c>
    </row>
    <row r="164" spans="2:11" x14ac:dyDescent="0.25">
      <c r="B164" t="str">
        <f>IF(F164="","",IF(F164="end","test_end",F164&amp;"_"&amp;COUNTIF($F$2:F164,F164)))</f>
        <v/>
      </c>
      <c r="C164" s="1"/>
      <c r="E164" t="str">
        <f t="shared" si="2"/>
        <v/>
      </c>
      <c r="K164" s="3" t="str">
        <f>IFERROR(_xlfn.XLOOKUP(F164,'CTA Actions'!$A$2:$A$7,'CTA Actions'!$B$2:$B$7),"")</f>
        <v/>
      </c>
    </row>
    <row r="165" spans="2:11" x14ac:dyDescent="0.25">
      <c r="B165" t="str">
        <f>IF(F165="","",IF(F165="end","test_end",F165&amp;"_"&amp;COUNTIF($F$2:F165,F165)))</f>
        <v/>
      </c>
      <c r="C165" s="1"/>
      <c r="E165" t="str">
        <f t="shared" si="2"/>
        <v/>
      </c>
      <c r="K165" s="3" t="str">
        <f>IFERROR(_xlfn.XLOOKUP(F165,'CTA Actions'!$A$2:$A$7,'CTA Actions'!$B$2:$B$7),"")</f>
        <v/>
      </c>
    </row>
    <row r="166" spans="2:11" x14ac:dyDescent="0.25">
      <c r="B166" t="str">
        <f>IF(F166="","",IF(F166="end","test_end",F166&amp;"_"&amp;COUNTIF($F$2:F166,F166)))</f>
        <v/>
      </c>
      <c r="C166" s="1"/>
      <c r="E166" t="str">
        <f t="shared" si="2"/>
        <v/>
      </c>
      <c r="K166" s="3" t="str">
        <f>IFERROR(_xlfn.XLOOKUP(F166,'CTA Actions'!$A$2:$A$7,'CTA Actions'!$B$2:$B$7),"")</f>
        <v/>
      </c>
    </row>
    <row r="167" spans="2:11" x14ac:dyDescent="0.25">
      <c r="B167" t="str">
        <f>IF(F167="","",IF(F167="end","test_end",F167&amp;"_"&amp;COUNTIF($F$2:F167,F167)))</f>
        <v/>
      </c>
      <c r="C167" s="1"/>
      <c r="E167" t="str">
        <f t="shared" si="2"/>
        <v/>
      </c>
      <c r="K167" s="3" t="str">
        <f>IFERROR(_xlfn.XLOOKUP(F167,'CTA Actions'!$A$2:$A$7,'CTA Actions'!$B$2:$B$7),"")</f>
        <v/>
      </c>
    </row>
    <row r="168" spans="2:11" x14ac:dyDescent="0.25">
      <c r="B168" t="str">
        <f>IF(F168="","",IF(F168="end","test_end",F168&amp;"_"&amp;COUNTIF($F$2:F168,F168)))</f>
        <v/>
      </c>
      <c r="C168" s="1"/>
      <c r="E168" t="str">
        <f t="shared" si="2"/>
        <v/>
      </c>
      <c r="K168" s="3" t="str">
        <f>IFERROR(_xlfn.XLOOKUP(F168,'CTA Actions'!$A$2:$A$7,'CTA Actions'!$B$2:$B$7),"")</f>
        <v/>
      </c>
    </row>
    <row r="169" spans="2:11" x14ac:dyDescent="0.25">
      <c r="B169" t="str">
        <f>IF(F169="","",IF(F169="end","test_end",F169&amp;"_"&amp;COUNTIF($F$2:F169,F169)))</f>
        <v/>
      </c>
      <c r="C169" s="1"/>
      <c r="E169" t="str">
        <f t="shared" si="2"/>
        <v/>
      </c>
      <c r="K169" s="3" t="str">
        <f>IFERROR(_xlfn.XLOOKUP(F169,'CTA Actions'!$A$2:$A$7,'CTA Actions'!$B$2:$B$7),"")</f>
        <v/>
      </c>
    </row>
    <row r="170" spans="2:11" x14ac:dyDescent="0.25">
      <c r="B170" t="str">
        <f>IF(F170="","",IF(F170="end","test_end",F170&amp;"_"&amp;COUNTIF($F$2:F170,F170)))</f>
        <v/>
      </c>
      <c r="C170" s="1"/>
      <c r="E170" t="str">
        <f t="shared" si="2"/>
        <v/>
      </c>
      <c r="K170" s="3" t="str">
        <f>IFERROR(_xlfn.XLOOKUP(F170,'CTA Actions'!$A$2:$A$7,'CTA Actions'!$B$2:$B$7),"")</f>
        <v/>
      </c>
    </row>
    <row r="171" spans="2:11" x14ac:dyDescent="0.25">
      <c r="B171" t="str">
        <f>IF(F171="","",IF(F171="end","test_end",F171&amp;"_"&amp;COUNTIF($F$2:F171,F171)))</f>
        <v/>
      </c>
      <c r="C171" s="1"/>
      <c r="E171" t="str">
        <f t="shared" si="2"/>
        <v/>
      </c>
      <c r="K171" s="3" t="str">
        <f>IFERROR(_xlfn.XLOOKUP(F171,'CTA Actions'!$A$2:$A$7,'CTA Actions'!$B$2:$B$7),"")</f>
        <v/>
      </c>
    </row>
    <row r="172" spans="2:11" x14ac:dyDescent="0.25">
      <c r="B172" t="str">
        <f>IF(F172="","",IF(F172="end","test_end",F172&amp;"_"&amp;COUNTIF($F$2:F172,F172)))</f>
        <v/>
      </c>
      <c r="C172" s="1"/>
      <c r="E172" t="str">
        <f t="shared" si="2"/>
        <v/>
      </c>
      <c r="K172" s="3" t="str">
        <f>IFERROR(_xlfn.XLOOKUP(F172,'CTA Actions'!$A$2:$A$7,'CTA Actions'!$B$2:$B$7),"")</f>
        <v/>
      </c>
    </row>
    <row r="173" spans="2:11" x14ac:dyDescent="0.25">
      <c r="B173" t="str">
        <f>IF(F173="","",IF(F173="end","test_end",F173&amp;"_"&amp;COUNTIF($F$2:F173,F173)))</f>
        <v/>
      </c>
      <c r="C173" s="1"/>
      <c r="E173" t="str">
        <f t="shared" si="2"/>
        <v/>
      </c>
      <c r="K173" s="3" t="str">
        <f>IFERROR(_xlfn.XLOOKUP(F173,'CTA Actions'!$A$2:$A$7,'CTA Actions'!$B$2:$B$7),"")</f>
        <v/>
      </c>
    </row>
    <row r="174" spans="2:11" x14ac:dyDescent="0.25">
      <c r="B174" t="str">
        <f>IF(F174="","",IF(F174="end","test_end",F174&amp;"_"&amp;COUNTIF($F$2:F174,F174)))</f>
        <v/>
      </c>
      <c r="C174" s="1"/>
      <c r="E174" t="str">
        <f t="shared" si="2"/>
        <v/>
      </c>
      <c r="K174" s="3" t="str">
        <f>IFERROR(_xlfn.XLOOKUP(F174,'CTA Actions'!$A$2:$A$7,'CTA Actions'!$B$2:$B$7),"")</f>
        <v/>
      </c>
    </row>
    <row r="175" spans="2:11" x14ac:dyDescent="0.25">
      <c r="B175" t="str">
        <f>IF(F175="","",IF(F175="end","test_end",F175&amp;"_"&amp;COUNTIF($F$2:F175,F175)))</f>
        <v/>
      </c>
      <c r="C175" s="1"/>
      <c r="E175" t="str">
        <f t="shared" si="2"/>
        <v/>
      </c>
      <c r="K175" s="3" t="str">
        <f>IFERROR(_xlfn.XLOOKUP(F175,'CTA Actions'!$A$2:$A$7,'CTA Actions'!$B$2:$B$7),"")</f>
        <v/>
      </c>
    </row>
    <row r="176" spans="2:11" x14ac:dyDescent="0.25">
      <c r="B176" t="str">
        <f>IF(F176="","",IF(F176="end","test_end",F176&amp;"_"&amp;COUNTIF($F$2:F176,F176)))</f>
        <v/>
      </c>
      <c r="C176" s="1"/>
      <c r="E176" t="str">
        <f t="shared" si="2"/>
        <v/>
      </c>
      <c r="K176" s="3" t="str">
        <f>IFERROR(_xlfn.XLOOKUP(F176,'CTA Actions'!$A$2:$A$7,'CTA Actions'!$B$2:$B$7),"")</f>
        <v/>
      </c>
    </row>
    <row r="177" spans="2:11" x14ac:dyDescent="0.25">
      <c r="B177" t="str">
        <f>IF(F177="","",IF(F177="end","test_end",F177&amp;"_"&amp;COUNTIF($F$2:F177,F177)))</f>
        <v/>
      </c>
      <c r="C177" s="1"/>
      <c r="E177" t="str">
        <f t="shared" si="2"/>
        <v/>
      </c>
      <c r="K177" s="3" t="str">
        <f>IFERROR(_xlfn.XLOOKUP(F177,'CTA Actions'!$A$2:$A$7,'CTA Actions'!$B$2:$B$7),"")</f>
        <v/>
      </c>
    </row>
    <row r="178" spans="2:11" x14ac:dyDescent="0.25">
      <c r="B178" t="str">
        <f>IF(F178="","",IF(F178="end","test_end",F178&amp;"_"&amp;COUNTIF($F$2:F178,F178)))</f>
        <v/>
      </c>
      <c r="C178" s="1"/>
      <c r="E178" t="str">
        <f t="shared" si="2"/>
        <v/>
      </c>
      <c r="K178" s="3" t="str">
        <f>IFERROR(_xlfn.XLOOKUP(F178,'CTA Actions'!$A$2:$A$7,'CTA Actions'!$B$2:$B$7),"")</f>
        <v/>
      </c>
    </row>
    <row r="179" spans="2:11" x14ac:dyDescent="0.25">
      <c r="B179" t="str">
        <f>IF(F179="","",IF(F179="end","test_end",F179&amp;"_"&amp;COUNTIF($F$2:F179,F179)))</f>
        <v/>
      </c>
      <c r="C179" s="1"/>
      <c r="E179" t="str">
        <f t="shared" si="2"/>
        <v/>
      </c>
      <c r="K179" s="3" t="str">
        <f>IFERROR(_xlfn.XLOOKUP(F179,'CTA Actions'!$A$2:$A$7,'CTA Actions'!$B$2:$B$7),"")</f>
        <v/>
      </c>
    </row>
    <row r="180" spans="2:11" x14ac:dyDescent="0.25">
      <c r="B180" t="str">
        <f>IF(F180="","",IF(F180="end","test_end",F180&amp;"_"&amp;COUNTIF($F$2:F180,F180)))</f>
        <v/>
      </c>
      <c r="C180" s="1"/>
      <c r="E180" t="str">
        <f t="shared" si="2"/>
        <v/>
      </c>
      <c r="K180" s="3" t="str">
        <f>IFERROR(_xlfn.XLOOKUP(F180,'CTA Actions'!$A$2:$A$7,'CTA Actions'!$B$2:$B$7),"")</f>
        <v/>
      </c>
    </row>
    <row r="181" spans="2:11" x14ac:dyDescent="0.25">
      <c r="B181" t="str">
        <f>IF(F181="","",IF(F181="end","test_end",F181&amp;"_"&amp;COUNTIF($F$2:F181,F181)))</f>
        <v/>
      </c>
      <c r="C181" s="1"/>
      <c r="E181" t="str">
        <f t="shared" si="2"/>
        <v/>
      </c>
      <c r="K181" s="3" t="str">
        <f>IFERROR(_xlfn.XLOOKUP(F181,'CTA Actions'!$A$2:$A$7,'CTA Actions'!$B$2:$B$7),"")</f>
        <v/>
      </c>
    </row>
    <row r="182" spans="2:11" x14ac:dyDescent="0.25">
      <c r="B182" t="str">
        <f>IF(F182="","",IF(F182="end","test_end",F182&amp;"_"&amp;COUNTIF($F$2:F182,F182)))</f>
        <v/>
      </c>
      <c r="C182" s="1"/>
      <c r="E182" t="str">
        <f t="shared" si="2"/>
        <v/>
      </c>
      <c r="K182" s="3" t="str">
        <f>IFERROR(_xlfn.XLOOKUP(F182,'CTA Actions'!$A$2:$A$7,'CTA Actions'!$B$2:$B$7),"")</f>
        <v/>
      </c>
    </row>
    <row r="183" spans="2:11" x14ac:dyDescent="0.25">
      <c r="B183" t="str">
        <f>IF(F183="","",IF(F183="end","test_end",F183&amp;"_"&amp;COUNTIF($F$2:F183,F183)))</f>
        <v/>
      </c>
      <c r="C183" s="1"/>
      <c r="E183" t="str">
        <f t="shared" si="2"/>
        <v/>
      </c>
      <c r="K183" s="3" t="str">
        <f>IFERROR(_xlfn.XLOOKUP(F183,'CTA Actions'!$A$2:$A$7,'CTA Actions'!$B$2:$B$7),"")</f>
        <v/>
      </c>
    </row>
    <row r="184" spans="2:11" x14ac:dyDescent="0.25">
      <c r="B184" t="str">
        <f>IF(F184="","",IF(F184="end","test_end",F184&amp;"_"&amp;COUNTIF($F$2:F184,F184)))</f>
        <v/>
      </c>
      <c r="C184" s="1"/>
      <c r="E184" t="str">
        <f t="shared" si="2"/>
        <v/>
      </c>
      <c r="K184" s="3" t="str">
        <f>IFERROR(_xlfn.XLOOKUP(F184,'CTA Actions'!$A$2:$A$7,'CTA Actions'!$B$2:$B$7),"")</f>
        <v/>
      </c>
    </row>
    <row r="185" spans="2:11" x14ac:dyDescent="0.25">
      <c r="B185" t="str">
        <f>IF(F185="","",IF(F185="end","test_end",F185&amp;"_"&amp;COUNTIF($F$2:F185,F185)))</f>
        <v/>
      </c>
      <c r="C185" s="1"/>
      <c r="E185" t="str">
        <f t="shared" si="2"/>
        <v/>
      </c>
      <c r="K185" s="3" t="str">
        <f>IFERROR(_xlfn.XLOOKUP(F185,'CTA Actions'!$A$2:$A$7,'CTA Actions'!$B$2:$B$7),"")</f>
        <v/>
      </c>
    </row>
    <row r="186" spans="2:11" x14ac:dyDescent="0.25">
      <c r="B186" t="str">
        <f>IF(F186="","",IF(F186="end","test_end",F186&amp;"_"&amp;COUNTIF($F$2:F186,F186)))</f>
        <v/>
      </c>
      <c r="C186" s="1"/>
      <c r="E186" t="str">
        <f t="shared" si="2"/>
        <v/>
      </c>
      <c r="K186" s="3" t="str">
        <f>IFERROR(_xlfn.XLOOKUP(F186,'CTA Actions'!$A$2:$A$7,'CTA Actions'!$B$2:$B$7),"")</f>
        <v/>
      </c>
    </row>
    <row r="187" spans="2:11" x14ac:dyDescent="0.25">
      <c r="B187" t="str">
        <f>IF(F187="","",IF(F187="end","test_end",F187&amp;"_"&amp;COUNTIF($F$2:F187,F187)))</f>
        <v/>
      </c>
      <c r="C187" s="1"/>
      <c r="E187" t="str">
        <f t="shared" si="2"/>
        <v/>
      </c>
      <c r="K187" s="3" t="str">
        <f>IFERROR(_xlfn.XLOOKUP(F187,'CTA Actions'!$A$2:$A$7,'CTA Actions'!$B$2:$B$7),"")</f>
        <v/>
      </c>
    </row>
    <row r="188" spans="2:11" x14ac:dyDescent="0.25">
      <c r="B188" t="str">
        <f>IF(F188="","",IF(F188="end","test_end",F188&amp;"_"&amp;COUNTIF($F$2:F188,F188)))</f>
        <v/>
      </c>
      <c r="C188" s="1"/>
      <c r="E188" t="str">
        <f t="shared" si="2"/>
        <v/>
      </c>
      <c r="K188" s="3" t="str">
        <f>IFERROR(_xlfn.XLOOKUP(F188,'CTA Actions'!$A$2:$A$7,'CTA Actions'!$B$2:$B$7),"")</f>
        <v/>
      </c>
    </row>
    <row r="189" spans="2:11" x14ac:dyDescent="0.25">
      <c r="B189" t="str">
        <f>IF(F189="","",IF(F189="end","test_end",F189&amp;"_"&amp;COUNTIF($F$2:F189,F189)))</f>
        <v/>
      </c>
      <c r="C189" s="1"/>
      <c r="E189" t="str">
        <f t="shared" si="2"/>
        <v/>
      </c>
      <c r="K189" s="3" t="str">
        <f>IFERROR(_xlfn.XLOOKUP(F189,'CTA Actions'!$A$2:$A$7,'CTA Actions'!$B$2:$B$7),"")</f>
        <v/>
      </c>
    </row>
    <row r="190" spans="2:11" x14ac:dyDescent="0.25">
      <c r="B190" t="str">
        <f>IF(F190="","",IF(F190="end","test_end",F190&amp;"_"&amp;COUNTIF($F$2:F190,F190)))</f>
        <v/>
      </c>
      <c r="C190" s="1"/>
      <c r="E190" t="str">
        <f t="shared" si="2"/>
        <v/>
      </c>
      <c r="K190" s="3" t="str">
        <f>IFERROR(_xlfn.XLOOKUP(F190,'CTA Actions'!$A$2:$A$7,'CTA Actions'!$B$2:$B$7),"")</f>
        <v/>
      </c>
    </row>
    <row r="191" spans="2:11" x14ac:dyDescent="0.25">
      <c r="B191" t="str">
        <f>IF(F191="","",IF(F191="end","test_end",F191&amp;"_"&amp;COUNTIF($F$2:F191,F191)))</f>
        <v/>
      </c>
      <c r="C191" s="1"/>
      <c r="E191" t="str">
        <f t="shared" si="2"/>
        <v/>
      </c>
      <c r="K191" s="3" t="str">
        <f>IFERROR(_xlfn.XLOOKUP(F191,'CTA Actions'!$A$2:$A$7,'CTA Actions'!$B$2:$B$7),"")</f>
        <v/>
      </c>
    </row>
    <row r="192" spans="2:11" x14ac:dyDescent="0.25">
      <c r="B192" t="str">
        <f>IF(F192="","",IF(F192="end","test_end",F192&amp;"_"&amp;COUNTIF($F$2:F192,F192)))</f>
        <v/>
      </c>
      <c r="C192" s="1"/>
      <c r="E192" t="str">
        <f t="shared" si="2"/>
        <v/>
      </c>
      <c r="K192" s="3" t="str">
        <f>IFERROR(_xlfn.XLOOKUP(F192,'CTA Actions'!$A$2:$A$7,'CTA Actions'!$B$2:$B$7),"")</f>
        <v/>
      </c>
    </row>
    <row r="193" spans="2:11" x14ac:dyDescent="0.25">
      <c r="B193" t="str">
        <f>IF(F193="","",IF(F193="end","test_end",F193&amp;"_"&amp;COUNTIF($F$2:F193,F193)))</f>
        <v/>
      </c>
      <c r="C193" s="1"/>
      <c r="E193" t="str">
        <f t="shared" si="2"/>
        <v/>
      </c>
      <c r="K193" s="3" t="str">
        <f>IFERROR(_xlfn.XLOOKUP(F193,'CTA Actions'!$A$2:$A$7,'CTA Actions'!$B$2:$B$7),"")</f>
        <v/>
      </c>
    </row>
    <row r="194" spans="2:11" x14ac:dyDescent="0.25">
      <c r="B194" t="str">
        <f>IF(F194="","",IF(F194="end","test_end",F194&amp;"_"&amp;COUNTIF($F$2:F194,F194)))</f>
        <v/>
      </c>
      <c r="C194" s="1"/>
      <c r="E194" t="str">
        <f t="shared" si="2"/>
        <v/>
      </c>
      <c r="K194" s="3" t="str">
        <f>IFERROR(_xlfn.XLOOKUP(F194,'CTA Actions'!$A$2:$A$7,'CTA Actions'!$B$2:$B$7),"")</f>
        <v/>
      </c>
    </row>
    <row r="195" spans="2:11" x14ac:dyDescent="0.25">
      <c r="B195" t="str">
        <f>IF(F195="","",IF(F195="end","test_end",F195&amp;"_"&amp;COUNTIF($F$2:F195,F195)))</f>
        <v/>
      </c>
      <c r="C195" s="1"/>
      <c r="E195" t="str">
        <f t="shared" ref="E195:E258" si="3">IF(F195="","",IF(F195="water_draw","water_draw",IF(F195="end","test","cta")))</f>
        <v/>
      </c>
      <c r="K195" s="3" t="str">
        <f>IFERROR(_xlfn.XLOOKUP(F195,'CTA Actions'!$A$2:$A$7,'CTA Actions'!$B$2:$B$7),"")</f>
        <v/>
      </c>
    </row>
    <row r="196" spans="2:11" x14ac:dyDescent="0.25">
      <c r="B196" t="str">
        <f>IF(F196="","",IF(F196="end","test_end",F196&amp;"_"&amp;COUNTIF($F$2:F196,F196)))</f>
        <v/>
      </c>
      <c r="C196" s="1"/>
      <c r="E196" t="str">
        <f t="shared" si="3"/>
        <v/>
      </c>
      <c r="K196" s="3" t="str">
        <f>IFERROR(_xlfn.XLOOKUP(F196,'CTA Actions'!$A$2:$A$7,'CTA Actions'!$B$2:$B$7),"")</f>
        <v/>
      </c>
    </row>
    <row r="197" spans="2:11" x14ac:dyDescent="0.25">
      <c r="B197" t="str">
        <f>IF(F197="","",IF(F197="end","test_end",F197&amp;"_"&amp;COUNTIF($F$2:F197,F197)))</f>
        <v/>
      </c>
      <c r="C197" s="1"/>
      <c r="E197" t="str">
        <f t="shared" si="3"/>
        <v/>
      </c>
      <c r="K197" s="3" t="str">
        <f>IFERROR(_xlfn.XLOOKUP(F197,'CTA Actions'!$A$2:$A$7,'CTA Actions'!$B$2:$B$7),"")</f>
        <v/>
      </c>
    </row>
    <row r="198" spans="2:11" x14ac:dyDescent="0.25">
      <c r="B198" t="str">
        <f>IF(F198="","",IF(F198="end","test_end",F198&amp;"_"&amp;COUNTIF($F$2:F198,F198)))</f>
        <v/>
      </c>
      <c r="C198" s="1"/>
      <c r="E198" t="str">
        <f t="shared" si="3"/>
        <v/>
      </c>
      <c r="K198" s="3" t="str">
        <f>IFERROR(_xlfn.XLOOKUP(F198,'CTA Actions'!$A$2:$A$7,'CTA Actions'!$B$2:$B$7),"")</f>
        <v/>
      </c>
    </row>
    <row r="199" spans="2:11" x14ac:dyDescent="0.25">
      <c r="B199" t="str">
        <f>IF(F199="","",IF(F199="end","test_end",F199&amp;"_"&amp;COUNTIF($F$2:F199,F199)))</f>
        <v/>
      </c>
      <c r="C199" s="1"/>
      <c r="E199" t="str">
        <f t="shared" si="3"/>
        <v/>
      </c>
      <c r="K199" s="3" t="str">
        <f>IFERROR(_xlfn.XLOOKUP(F199,'CTA Actions'!$A$2:$A$7,'CTA Actions'!$B$2:$B$7),"")</f>
        <v/>
      </c>
    </row>
    <row r="200" spans="2:11" x14ac:dyDescent="0.25">
      <c r="B200" t="str">
        <f>IF(F200="","",IF(F200="end","test_end",F200&amp;"_"&amp;COUNTIF($F$2:F200,F200)))</f>
        <v/>
      </c>
      <c r="C200" s="1"/>
      <c r="E200" t="str">
        <f t="shared" si="3"/>
        <v/>
      </c>
      <c r="K200" s="3" t="str">
        <f>IFERROR(_xlfn.XLOOKUP(F200,'CTA Actions'!$A$2:$A$7,'CTA Actions'!$B$2:$B$7),"")</f>
        <v/>
      </c>
    </row>
    <row r="201" spans="2:11" x14ac:dyDescent="0.25">
      <c r="B201" t="str">
        <f>IF(F201="","",IF(F201="end","test_end",F201&amp;"_"&amp;COUNTIF($F$2:F201,F201)))</f>
        <v/>
      </c>
      <c r="C201" s="1"/>
      <c r="E201" t="str">
        <f t="shared" si="3"/>
        <v/>
      </c>
      <c r="K201" s="3" t="str">
        <f>IFERROR(_xlfn.XLOOKUP(F201,'CTA Actions'!$A$2:$A$7,'CTA Actions'!$B$2:$B$7),"")</f>
        <v/>
      </c>
    </row>
    <row r="202" spans="2:11" x14ac:dyDescent="0.25">
      <c r="B202" t="str">
        <f>IF(F202="","",IF(F202="end","test_end",F202&amp;"_"&amp;COUNTIF($F$2:F202,F202)))</f>
        <v/>
      </c>
      <c r="C202" s="1"/>
      <c r="E202" t="str">
        <f t="shared" si="3"/>
        <v/>
      </c>
      <c r="K202" s="3" t="str">
        <f>IFERROR(_xlfn.XLOOKUP(F202,'CTA Actions'!$A$2:$A$7,'CTA Actions'!$B$2:$B$7),"")</f>
        <v/>
      </c>
    </row>
    <row r="203" spans="2:11" x14ac:dyDescent="0.25">
      <c r="B203" t="str">
        <f>IF(F203="","",IF(F203="end","test_end",F203&amp;"_"&amp;COUNTIF($F$2:F203,F203)))</f>
        <v/>
      </c>
      <c r="C203" s="1"/>
      <c r="E203" t="str">
        <f t="shared" si="3"/>
        <v/>
      </c>
      <c r="K203" s="3" t="str">
        <f>IFERROR(_xlfn.XLOOKUP(F203,'CTA Actions'!$A$2:$A$7,'CTA Actions'!$B$2:$B$7),"")</f>
        <v/>
      </c>
    </row>
    <row r="204" spans="2:11" x14ac:dyDescent="0.25">
      <c r="B204" t="str">
        <f>IF(F204="","",IF(F204="end","test_end",F204&amp;"_"&amp;COUNTIF($F$2:F204,F204)))</f>
        <v/>
      </c>
      <c r="C204" s="1"/>
      <c r="E204" t="str">
        <f t="shared" si="3"/>
        <v/>
      </c>
      <c r="K204" s="3" t="str">
        <f>IFERROR(_xlfn.XLOOKUP(F204,'CTA Actions'!$A$2:$A$7,'CTA Actions'!$B$2:$B$7),"")</f>
        <v/>
      </c>
    </row>
    <row r="205" spans="2:11" x14ac:dyDescent="0.25">
      <c r="B205" t="str">
        <f>IF(F205="","",IF(F205="end","test_end",F205&amp;"_"&amp;COUNTIF($F$2:F205,F205)))</f>
        <v/>
      </c>
      <c r="C205" s="1"/>
      <c r="E205" t="str">
        <f t="shared" si="3"/>
        <v/>
      </c>
      <c r="K205" s="3" t="str">
        <f>IFERROR(_xlfn.XLOOKUP(F205,'CTA Actions'!$A$2:$A$7,'CTA Actions'!$B$2:$B$7),"")</f>
        <v/>
      </c>
    </row>
    <row r="206" spans="2:11" x14ac:dyDescent="0.25">
      <c r="B206" t="str">
        <f>IF(F206="","",IF(F206="end","test_end",F206&amp;"_"&amp;COUNTIF($F$2:F206,F206)))</f>
        <v/>
      </c>
      <c r="C206" s="1"/>
      <c r="E206" t="str">
        <f t="shared" si="3"/>
        <v/>
      </c>
      <c r="K206" s="3" t="str">
        <f>IFERROR(_xlfn.XLOOKUP(F206,'CTA Actions'!$A$2:$A$7,'CTA Actions'!$B$2:$B$7),"")</f>
        <v/>
      </c>
    </row>
    <row r="207" spans="2:11" x14ac:dyDescent="0.25">
      <c r="B207" t="str">
        <f>IF(F207="","",IF(F207="end","test_end",F207&amp;"_"&amp;COUNTIF($F$2:F207,F207)))</f>
        <v/>
      </c>
      <c r="C207" s="1"/>
      <c r="E207" t="str">
        <f t="shared" si="3"/>
        <v/>
      </c>
      <c r="K207" s="3" t="str">
        <f>IFERROR(_xlfn.XLOOKUP(F207,'CTA Actions'!$A$2:$A$7,'CTA Actions'!$B$2:$B$7),"")</f>
        <v/>
      </c>
    </row>
    <row r="208" spans="2:11" x14ac:dyDescent="0.25">
      <c r="B208" t="str">
        <f>IF(F208="","",IF(F208="end","test_end",F208&amp;"_"&amp;COUNTIF($F$2:F208,F208)))</f>
        <v/>
      </c>
      <c r="C208" s="1"/>
      <c r="E208" t="str">
        <f t="shared" si="3"/>
        <v/>
      </c>
      <c r="K208" s="3" t="str">
        <f>IFERROR(_xlfn.XLOOKUP(F208,'CTA Actions'!$A$2:$A$7,'CTA Actions'!$B$2:$B$7),"")</f>
        <v/>
      </c>
    </row>
    <row r="209" spans="2:11" x14ac:dyDescent="0.25">
      <c r="B209" t="str">
        <f>IF(F209="","",IF(F209="end","test_end",F209&amp;"_"&amp;COUNTIF($F$2:F209,F209)))</f>
        <v/>
      </c>
      <c r="C209" s="1"/>
      <c r="E209" t="str">
        <f t="shared" si="3"/>
        <v/>
      </c>
      <c r="K209" s="3" t="str">
        <f>IFERROR(_xlfn.XLOOKUP(F209,'CTA Actions'!$A$2:$A$7,'CTA Actions'!$B$2:$B$7),"")</f>
        <v/>
      </c>
    </row>
    <row r="210" spans="2:11" x14ac:dyDescent="0.25">
      <c r="B210" t="str">
        <f>IF(F210="","",IF(F210="end","test_end",F210&amp;"_"&amp;COUNTIF($F$2:F210,F210)))</f>
        <v/>
      </c>
      <c r="C210" s="1"/>
      <c r="E210" t="str">
        <f t="shared" si="3"/>
        <v/>
      </c>
      <c r="K210" s="3" t="str">
        <f>IFERROR(_xlfn.XLOOKUP(F210,'CTA Actions'!$A$2:$A$7,'CTA Actions'!$B$2:$B$7),"")</f>
        <v/>
      </c>
    </row>
    <row r="211" spans="2:11" x14ac:dyDescent="0.25">
      <c r="B211" t="str">
        <f>IF(F211="","",IF(F211="end","test_end",F211&amp;"_"&amp;COUNTIF($F$2:F211,F211)))</f>
        <v/>
      </c>
      <c r="C211" s="1"/>
      <c r="E211" t="str">
        <f t="shared" si="3"/>
        <v/>
      </c>
      <c r="K211" s="3" t="str">
        <f>IFERROR(_xlfn.XLOOKUP(F211,'CTA Actions'!$A$2:$A$7,'CTA Actions'!$B$2:$B$7),"")</f>
        <v/>
      </c>
    </row>
    <row r="212" spans="2:11" x14ac:dyDescent="0.25">
      <c r="B212" t="str">
        <f>IF(F212="","",IF(F212="end","test_end",F212&amp;"_"&amp;COUNTIF($F$2:F212,F212)))</f>
        <v/>
      </c>
      <c r="C212" s="1"/>
      <c r="E212" t="str">
        <f t="shared" si="3"/>
        <v/>
      </c>
      <c r="K212" s="3" t="str">
        <f>IFERROR(_xlfn.XLOOKUP(F212,'CTA Actions'!$A$2:$A$7,'CTA Actions'!$B$2:$B$7),"")</f>
        <v/>
      </c>
    </row>
    <row r="213" spans="2:11" x14ac:dyDescent="0.25">
      <c r="B213" t="str">
        <f>IF(F213="","",IF(F213="end","test_end",F213&amp;"_"&amp;COUNTIF($F$2:F213,F213)))</f>
        <v/>
      </c>
      <c r="C213" s="1"/>
      <c r="E213" t="str">
        <f t="shared" si="3"/>
        <v/>
      </c>
      <c r="K213" s="3" t="str">
        <f>IFERROR(_xlfn.XLOOKUP(F213,'CTA Actions'!$A$2:$A$7,'CTA Actions'!$B$2:$B$7),"")</f>
        <v/>
      </c>
    </row>
    <row r="214" spans="2:11" x14ac:dyDescent="0.25">
      <c r="B214" t="str">
        <f>IF(F214="","",IF(F214="end","test_end",F214&amp;"_"&amp;COUNTIF($F$2:F214,F214)))</f>
        <v/>
      </c>
      <c r="C214" s="1"/>
      <c r="E214" t="str">
        <f t="shared" si="3"/>
        <v/>
      </c>
      <c r="K214" s="3" t="str">
        <f>IFERROR(_xlfn.XLOOKUP(F214,'CTA Actions'!$A$2:$A$7,'CTA Actions'!$B$2:$B$7),"")</f>
        <v/>
      </c>
    </row>
    <row r="215" spans="2:11" x14ac:dyDescent="0.25">
      <c r="B215" t="str">
        <f>IF(F215="","",IF(F215="end","test_end",F215&amp;"_"&amp;COUNTIF($F$2:F215,F215)))</f>
        <v/>
      </c>
      <c r="C215" s="1"/>
      <c r="E215" t="str">
        <f t="shared" si="3"/>
        <v/>
      </c>
      <c r="K215" s="3" t="str">
        <f>IFERROR(_xlfn.XLOOKUP(F215,'CTA Actions'!$A$2:$A$7,'CTA Actions'!$B$2:$B$7),"")</f>
        <v/>
      </c>
    </row>
    <row r="216" spans="2:11" x14ac:dyDescent="0.25">
      <c r="B216" t="str">
        <f>IF(F216="","",IF(F216="end","test_end",F216&amp;"_"&amp;COUNTIF($F$2:F216,F216)))</f>
        <v/>
      </c>
      <c r="C216" s="1"/>
      <c r="E216" t="str">
        <f t="shared" si="3"/>
        <v/>
      </c>
      <c r="K216" s="3" t="str">
        <f>IFERROR(_xlfn.XLOOKUP(F216,'CTA Actions'!$A$2:$A$7,'CTA Actions'!$B$2:$B$7),"")</f>
        <v/>
      </c>
    </row>
    <row r="217" spans="2:11" x14ac:dyDescent="0.25">
      <c r="B217" t="str">
        <f>IF(F217="","",IF(F217="end","test_end",F217&amp;"_"&amp;COUNTIF($F$2:F217,F217)))</f>
        <v/>
      </c>
      <c r="C217" s="1"/>
      <c r="E217" t="str">
        <f t="shared" si="3"/>
        <v/>
      </c>
      <c r="K217" s="3" t="str">
        <f>IFERROR(_xlfn.XLOOKUP(F217,'CTA Actions'!$A$2:$A$7,'CTA Actions'!$B$2:$B$7),"")</f>
        <v/>
      </c>
    </row>
    <row r="218" spans="2:11" x14ac:dyDescent="0.25">
      <c r="B218" t="str">
        <f>IF(F218="","",IF(F218="end","test_end",F218&amp;"_"&amp;COUNTIF($F$2:F218,F218)))</f>
        <v/>
      </c>
      <c r="C218" s="1"/>
      <c r="E218" t="str">
        <f t="shared" si="3"/>
        <v/>
      </c>
      <c r="K218" s="3" t="str">
        <f>IFERROR(_xlfn.XLOOKUP(F218,'CTA Actions'!$A$2:$A$7,'CTA Actions'!$B$2:$B$7),"")</f>
        <v/>
      </c>
    </row>
    <row r="219" spans="2:11" x14ac:dyDescent="0.25">
      <c r="B219" t="str">
        <f>IF(F219="","",IF(F219="end","test_end",F219&amp;"_"&amp;COUNTIF($F$2:F219,F219)))</f>
        <v/>
      </c>
      <c r="C219" s="1"/>
      <c r="E219" t="str">
        <f t="shared" si="3"/>
        <v/>
      </c>
      <c r="K219" s="3" t="str">
        <f>IFERROR(_xlfn.XLOOKUP(F219,'CTA Actions'!$A$2:$A$7,'CTA Actions'!$B$2:$B$7),"")</f>
        <v/>
      </c>
    </row>
    <row r="220" spans="2:11" x14ac:dyDescent="0.25">
      <c r="B220" t="str">
        <f>IF(F220="","",IF(F220="end","test_end",F220&amp;"_"&amp;COUNTIF($F$2:F220,F220)))</f>
        <v/>
      </c>
      <c r="C220" s="1"/>
      <c r="E220" t="str">
        <f t="shared" si="3"/>
        <v/>
      </c>
      <c r="K220" s="3" t="str">
        <f>IFERROR(_xlfn.XLOOKUP(F220,'CTA Actions'!$A$2:$A$7,'CTA Actions'!$B$2:$B$7),"")</f>
        <v/>
      </c>
    </row>
    <row r="221" spans="2:11" x14ac:dyDescent="0.25">
      <c r="B221" t="str">
        <f>IF(F221="","",IF(F221="end","test_end",F221&amp;"_"&amp;COUNTIF($F$2:F221,F221)))</f>
        <v/>
      </c>
      <c r="C221" s="1"/>
      <c r="E221" t="str">
        <f t="shared" si="3"/>
        <v/>
      </c>
      <c r="K221" s="3" t="str">
        <f>IFERROR(_xlfn.XLOOKUP(F221,'CTA Actions'!$A$2:$A$7,'CTA Actions'!$B$2:$B$7),"")</f>
        <v/>
      </c>
    </row>
    <row r="222" spans="2:11" x14ac:dyDescent="0.25">
      <c r="B222" t="str">
        <f>IF(F222="","",IF(F222="end","test_end",F222&amp;"_"&amp;COUNTIF($F$2:F222,F222)))</f>
        <v/>
      </c>
      <c r="C222" s="1"/>
      <c r="E222" t="str">
        <f t="shared" si="3"/>
        <v/>
      </c>
      <c r="K222" s="3" t="str">
        <f>IFERROR(_xlfn.XLOOKUP(F222,'CTA Actions'!$A$2:$A$7,'CTA Actions'!$B$2:$B$7),"")</f>
        <v/>
      </c>
    </row>
    <row r="223" spans="2:11" x14ac:dyDescent="0.25">
      <c r="B223" t="str">
        <f>IF(F223="","",IF(F223="end","test_end",F223&amp;"_"&amp;COUNTIF($F$2:F223,F223)))</f>
        <v/>
      </c>
      <c r="C223" s="1"/>
      <c r="E223" t="str">
        <f t="shared" si="3"/>
        <v/>
      </c>
      <c r="K223" s="3" t="str">
        <f>IFERROR(_xlfn.XLOOKUP(F223,'CTA Actions'!$A$2:$A$7,'CTA Actions'!$B$2:$B$7),"")</f>
        <v/>
      </c>
    </row>
    <row r="224" spans="2:11" x14ac:dyDescent="0.25">
      <c r="B224" t="str">
        <f>IF(F224="","",IF(F224="end","test_end",F224&amp;"_"&amp;COUNTIF($F$2:F224,F224)))</f>
        <v/>
      </c>
      <c r="C224" s="1"/>
      <c r="E224" t="str">
        <f t="shared" si="3"/>
        <v/>
      </c>
      <c r="K224" s="3" t="str">
        <f>IFERROR(_xlfn.XLOOKUP(F224,'CTA Actions'!$A$2:$A$7,'CTA Actions'!$B$2:$B$7),"")</f>
        <v/>
      </c>
    </row>
    <row r="225" spans="2:11" x14ac:dyDescent="0.25">
      <c r="B225" t="str">
        <f>IF(F225="","",IF(F225="end","test_end",F225&amp;"_"&amp;COUNTIF($F$2:F225,F225)))</f>
        <v/>
      </c>
      <c r="C225" s="1"/>
      <c r="E225" t="str">
        <f t="shared" si="3"/>
        <v/>
      </c>
      <c r="K225" s="3" t="str">
        <f>IFERROR(_xlfn.XLOOKUP(F225,'CTA Actions'!$A$2:$A$7,'CTA Actions'!$B$2:$B$7),"")</f>
        <v/>
      </c>
    </row>
    <row r="226" spans="2:11" x14ac:dyDescent="0.25">
      <c r="B226" t="str">
        <f>IF(F226="","",IF(F226="end","test_end",F226&amp;"_"&amp;COUNTIF($F$2:F226,F226)))</f>
        <v/>
      </c>
      <c r="C226" s="1"/>
      <c r="E226" t="str">
        <f t="shared" si="3"/>
        <v/>
      </c>
      <c r="K226" s="3" t="str">
        <f>IFERROR(_xlfn.XLOOKUP(F226,'CTA Actions'!$A$2:$A$7,'CTA Actions'!$B$2:$B$7),"")</f>
        <v/>
      </c>
    </row>
    <row r="227" spans="2:11" x14ac:dyDescent="0.25">
      <c r="B227" t="str">
        <f>IF(F227="","",IF(F227="end","test_end",F227&amp;"_"&amp;COUNTIF($F$2:F227,F227)))</f>
        <v/>
      </c>
      <c r="C227" s="1"/>
      <c r="E227" t="str">
        <f t="shared" si="3"/>
        <v/>
      </c>
      <c r="K227" s="3" t="str">
        <f>IFERROR(_xlfn.XLOOKUP(F227,'CTA Actions'!$A$2:$A$7,'CTA Actions'!$B$2:$B$7),"")</f>
        <v/>
      </c>
    </row>
    <row r="228" spans="2:11" x14ac:dyDescent="0.25">
      <c r="B228" t="str">
        <f>IF(F228="","",IF(F228="end","test_end",F228&amp;"_"&amp;COUNTIF($F$2:F228,F228)))</f>
        <v/>
      </c>
      <c r="C228" s="1"/>
      <c r="E228" t="str">
        <f t="shared" si="3"/>
        <v/>
      </c>
      <c r="K228" s="3" t="str">
        <f>IFERROR(_xlfn.XLOOKUP(F228,'CTA Actions'!$A$2:$A$7,'CTA Actions'!$B$2:$B$7),"")</f>
        <v/>
      </c>
    </row>
    <row r="229" spans="2:11" x14ac:dyDescent="0.25">
      <c r="B229" t="str">
        <f>IF(F229="","",IF(F229="end","test_end",F229&amp;"_"&amp;COUNTIF($F$2:F229,F229)))</f>
        <v/>
      </c>
      <c r="C229" s="1"/>
      <c r="E229" t="str">
        <f t="shared" si="3"/>
        <v/>
      </c>
      <c r="K229" s="3" t="str">
        <f>IFERROR(_xlfn.XLOOKUP(F229,'CTA Actions'!$A$2:$A$7,'CTA Actions'!$B$2:$B$7),"")</f>
        <v/>
      </c>
    </row>
    <row r="230" spans="2:11" x14ac:dyDescent="0.25">
      <c r="B230" t="str">
        <f>IF(F230="","",IF(F230="end","test_end",F230&amp;"_"&amp;COUNTIF($F$2:F230,F230)))</f>
        <v/>
      </c>
      <c r="C230" s="1"/>
      <c r="E230" t="str">
        <f t="shared" si="3"/>
        <v/>
      </c>
      <c r="K230" s="3" t="str">
        <f>IFERROR(_xlfn.XLOOKUP(F230,'CTA Actions'!$A$2:$A$7,'CTA Actions'!$B$2:$B$7),"")</f>
        <v/>
      </c>
    </row>
    <row r="231" spans="2:11" x14ac:dyDescent="0.25">
      <c r="B231" t="str">
        <f>IF(F231="","",IF(F231="end","test_end",F231&amp;"_"&amp;COUNTIF($F$2:F231,F231)))</f>
        <v/>
      </c>
      <c r="C231" s="1"/>
      <c r="E231" t="str">
        <f t="shared" si="3"/>
        <v/>
      </c>
      <c r="K231" s="3" t="str">
        <f>IFERROR(_xlfn.XLOOKUP(F231,'CTA Actions'!$A$2:$A$7,'CTA Actions'!$B$2:$B$7),"")</f>
        <v/>
      </c>
    </row>
    <row r="232" spans="2:11" x14ac:dyDescent="0.25">
      <c r="B232" t="str">
        <f>IF(F232="","",IF(F232="end","test_end",F232&amp;"_"&amp;COUNTIF($F$2:F232,F232)))</f>
        <v/>
      </c>
      <c r="C232" s="1"/>
      <c r="E232" t="str">
        <f t="shared" si="3"/>
        <v/>
      </c>
      <c r="K232" s="3" t="str">
        <f>IFERROR(_xlfn.XLOOKUP(F232,'CTA Actions'!$A$2:$A$7,'CTA Actions'!$B$2:$B$7),"")</f>
        <v/>
      </c>
    </row>
    <row r="233" spans="2:11" x14ac:dyDescent="0.25">
      <c r="B233" t="str">
        <f>IF(F233="","",IF(F233="end","test_end",F233&amp;"_"&amp;COUNTIF($F$2:F233,F233)))</f>
        <v/>
      </c>
      <c r="C233" s="1"/>
      <c r="E233" t="str">
        <f t="shared" si="3"/>
        <v/>
      </c>
      <c r="K233" s="3" t="str">
        <f>IFERROR(_xlfn.XLOOKUP(F233,'CTA Actions'!$A$2:$A$7,'CTA Actions'!$B$2:$B$7),"")</f>
        <v/>
      </c>
    </row>
    <row r="234" spans="2:11" x14ac:dyDescent="0.25">
      <c r="B234" t="str">
        <f>IF(F234="","",IF(F234="end","test_end",F234&amp;"_"&amp;COUNTIF($F$2:F234,F234)))</f>
        <v/>
      </c>
      <c r="C234" s="1"/>
      <c r="E234" t="str">
        <f t="shared" si="3"/>
        <v/>
      </c>
      <c r="K234" s="3" t="str">
        <f>IFERROR(_xlfn.XLOOKUP(F234,'CTA Actions'!$A$2:$A$7,'CTA Actions'!$B$2:$B$7),"")</f>
        <v/>
      </c>
    </row>
    <row r="235" spans="2:11" x14ac:dyDescent="0.25">
      <c r="B235" t="str">
        <f>IF(F235="","",IF(F235="end","test_end",F235&amp;"_"&amp;COUNTIF($F$2:F235,F235)))</f>
        <v/>
      </c>
      <c r="C235" s="1"/>
      <c r="E235" t="str">
        <f t="shared" si="3"/>
        <v/>
      </c>
      <c r="K235" s="3" t="str">
        <f>IFERROR(_xlfn.XLOOKUP(F235,'CTA Actions'!$A$2:$A$7,'CTA Actions'!$B$2:$B$7),"")</f>
        <v/>
      </c>
    </row>
    <row r="236" spans="2:11" x14ac:dyDescent="0.25">
      <c r="B236" t="str">
        <f>IF(F236="","",IF(F236="end","test_end",F236&amp;"_"&amp;COUNTIF($F$2:F236,F236)))</f>
        <v/>
      </c>
      <c r="C236" s="1"/>
      <c r="E236" t="str">
        <f t="shared" si="3"/>
        <v/>
      </c>
      <c r="K236" s="3" t="str">
        <f>IFERROR(_xlfn.XLOOKUP(F236,'CTA Actions'!$A$2:$A$7,'CTA Actions'!$B$2:$B$7),"")</f>
        <v/>
      </c>
    </row>
    <row r="237" spans="2:11" x14ac:dyDescent="0.25">
      <c r="B237" t="str">
        <f>IF(F237="","",IF(F237="end","test_end",F237&amp;"_"&amp;COUNTIF($F$2:F237,F237)))</f>
        <v/>
      </c>
      <c r="C237" s="1"/>
      <c r="E237" t="str">
        <f t="shared" si="3"/>
        <v/>
      </c>
      <c r="K237" s="3" t="str">
        <f>IFERROR(_xlfn.XLOOKUP(F237,'CTA Actions'!$A$2:$A$7,'CTA Actions'!$B$2:$B$7),"")</f>
        <v/>
      </c>
    </row>
    <row r="238" spans="2:11" x14ac:dyDescent="0.25">
      <c r="B238" t="str">
        <f>IF(F238="","",IF(F238="end","test_end",F238&amp;"_"&amp;COUNTIF($F$2:F238,F238)))</f>
        <v/>
      </c>
      <c r="C238" s="1"/>
      <c r="E238" t="str">
        <f t="shared" si="3"/>
        <v/>
      </c>
      <c r="K238" s="3" t="str">
        <f>IFERROR(_xlfn.XLOOKUP(F238,'CTA Actions'!$A$2:$A$7,'CTA Actions'!$B$2:$B$7),"")</f>
        <v/>
      </c>
    </row>
    <row r="239" spans="2:11" x14ac:dyDescent="0.25">
      <c r="B239" t="str">
        <f>IF(F239="","",IF(F239="end","test_end",F239&amp;"_"&amp;COUNTIF($F$2:F239,F239)))</f>
        <v/>
      </c>
      <c r="C239" s="1"/>
      <c r="E239" t="str">
        <f t="shared" si="3"/>
        <v/>
      </c>
      <c r="K239" s="3" t="str">
        <f>IFERROR(_xlfn.XLOOKUP(F239,'CTA Actions'!$A$2:$A$7,'CTA Actions'!$B$2:$B$7),"")</f>
        <v/>
      </c>
    </row>
    <row r="240" spans="2:11" x14ac:dyDescent="0.25">
      <c r="B240" t="str">
        <f>IF(F240="","",IF(F240="end","test_end",F240&amp;"_"&amp;COUNTIF($F$2:F240,F240)))</f>
        <v/>
      </c>
      <c r="C240" s="1"/>
      <c r="E240" t="str">
        <f t="shared" si="3"/>
        <v/>
      </c>
      <c r="K240" s="3" t="str">
        <f>IFERROR(_xlfn.XLOOKUP(F240,'CTA Actions'!$A$2:$A$7,'CTA Actions'!$B$2:$B$7),"")</f>
        <v/>
      </c>
    </row>
    <row r="241" spans="2:11" x14ac:dyDescent="0.25">
      <c r="B241" t="str">
        <f>IF(F241="","",IF(F241="end","test_end",F241&amp;"_"&amp;COUNTIF($F$2:F241,F241)))</f>
        <v/>
      </c>
      <c r="C241" s="1"/>
      <c r="E241" t="str">
        <f t="shared" si="3"/>
        <v/>
      </c>
      <c r="K241" s="3" t="str">
        <f>IFERROR(_xlfn.XLOOKUP(F241,'CTA Actions'!$A$2:$A$7,'CTA Actions'!$B$2:$B$7),"")</f>
        <v/>
      </c>
    </row>
    <row r="242" spans="2:11" x14ac:dyDescent="0.25">
      <c r="B242" t="str">
        <f>IF(F242="","",IF(F242="end","test_end",F242&amp;"_"&amp;COUNTIF($F$2:F242,F242)))</f>
        <v/>
      </c>
      <c r="C242" s="1"/>
      <c r="E242" t="str">
        <f t="shared" si="3"/>
        <v/>
      </c>
      <c r="K242" s="3" t="str">
        <f>IFERROR(_xlfn.XLOOKUP(F242,'CTA Actions'!$A$2:$A$7,'CTA Actions'!$B$2:$B$7),"")</f>
        <v/>
      </c>
    </row>
    <row r="243" spans="2:11" x14ac:dyDescent="0.25">
      <c r="B243" t="str">
        <f>IF(F243="","",IF(F243="end","test_end",F243&amp;"_"&amp;COUNTIF($F$2:F243,F243)))</f>
        <v/>
      </c>
      <c r="C243" s="1"/>
      <c r="E243" t="str">
        <f t="shared" si="3"/>
        <v/>
      </c>
      <c r="K243" s="3" t="str">
        <f>IFERROR(_xlfn.XLOOKUP(F243,'CTA Actions'!$A$2:$A$7,'CTA Actions'!$B$2:$B$7),"")</f>
        <v/>
      </c>
    </row>
    <row r="244" spans="2:11" x14ac:dyDescent="0.25">
      <c r="B244" t="str">
        <f>IF(F244="","",IF(F244="end","test_end",F244&amp;"_"&amp;COUNTIF($F$2:F244,F244)))</f>
        <v/>
      </c>
      <c r="C244" s="1"/>
      <c r="E244" t="str">
        <f t="shared" si="3"/>
        <v/>
      </c>
      <c r="K244" s="3" t="str">
        <f>IFERROR(_xlfn.XLOOKUP(F244,'CTA Actions'!$A$2:$A$7,'CTA Actions'!$B$2:$B$7),"")</f>
        <v/>
      </c>
    </row>
    <row r="245" spans="2:11" x14ac:dyDescent="0.25">
      <c r="B245" t="str">
        <f>IF(F245="","",IF(F245="end","test_end",F245&amp;"_"&amp;COUNTIF($F$2:F245,F245)))</f>
        <v/>
      </c>
      <c r="C245" s="1"/>
      <c r="E245" t="str">
        <f t="shared" si="3"/>
        <v/>
      </c>
      <c r="K245" s="3" t="str">
        <f>IFERROR(_xlfn.XLOOKUP(F245,'CTA Actions'!$A$2:$A$7,'CTA Actions'!$B$2:$B$7),"")</f>
        <v/>
      </c>
    </row>
    <row r="246" spans="2:11" x14ac:dyDescent="0.25">
      <c r="B246" t="str">
        <f>IF(F246="","",IF(F246="end","test_end",F246&amp;"_"&amp;COUNTIF($F$2:F246,F246)))</f>
        <v/>
      </c>
      <c r="C246" s="1"/>
      <c r="E246" t="str">
        <f t="shared" si="3"/>
        <v/>
      </c>
      <c r="K246" s="3" t="str">
        <f>IFERROR(_xlfn.XLOOKUP(F246,'CTA Actions'!$A$2:$A$7,'CTA Actions'!$B$2:$B$7),"")</f>
        <v/>
      </c>
    </row>
    <row r="247" spans="2:11" x14ac:dyDescent="0.25">
      <c r="B247" t="str">
        <f>IF(F247="","",IF(F247="end","test_end",F247&amp;"_"&amp;COUNTIF($F$2:F247,F247)))</f>
        <v/>
      </c>
      <c r="C247" s="1"/>
      <c r="E247" t="str">
        <f t="shared" si="3"/>
        <v/>
      </c>
      <c r="K247" s="3" t="str">
        <f>IFERROR(_xlfn.XLOOKUP(F247,'CTA Actions'!$A$2:$A$7,'CTA Actions'!$B$2:$B$7),"")</f>
        <v/>
      </c>
    </row>
    <row r="248" spans="2:11" x14ac:dyDescent="0.25">
      <c r="B248" t="str">
        <f>IF(F248="","",IF(F248="end","test_end",F248&amp;"_"&amp;COUNTIF($F$2:F248,F248)))</f>
        <v/>
      </c>
      <c r="C248" s="1"/>
      <c r="E248" t="str">
        <f t="shared" si="3"/>
        <v/>
      </c>
      <c r="K248" s="3" t="str">
        <f>IFERROR(_xlfn.XLOOKUP(F248,'CTA Actions'!$A$2:$A$7,'CTA Actions'!$B$2:$B$7),"")</f>
        <v/>
      </c>
    </row>
    <row r="249" spans="2:11" x14ac:dyDescent="0.25">
      <c r="B249" t="str">
        <f>IF(F249="","",IF(F249="end","test_end",F249&amp;"_"&amp;COUNTIF($F$2:F249,F249)))</f>
        <v/>
      </c>
      <c r="C249" s="1"/>
      <c r="E249" t="str">
        <f t="shared" si="3"/>
        <v/>
      </c>
      <c r="K249" s="3" t="str">
        <f>IFERROR(_xlfn.XLOOKUP(F249,'CTA Actions'!$A$2:$A$7,'CTA Actions'!$B$2:$B$7),"")</f>
        <v/>
      </c>
    </row>
    <row r="250" spans="2:11" x14ac:dyDescent="0.25">
      <c r="B250" t="str">
        <f>IF(F250="","",IF(F250="end","test_end",F250&amp;"_"&amp;COUNTIF($F$2:F250,F250)))</f>
        <v/>
      </c>
      <c r="C250" s="1"/>
      <c r="E250" t="str">
        <f t="shared" si="3"/>
        <v/>
      </c>
      <c r="K250" s="3" t="str">
        <f>IFERROR(_xlfn.XLOOKUP(F250,'CTA Actions'!$A$2:$A$7,'CTA Actions'!$B$2:$B$7),"")</f>
        <v/>
      </c>
    </row>
    <row r="251" spans="2:11" x14ac:dyDescent="0.25">
      <c r="B251" t="str">
        <f>IF(F251="","",IF(F251="end","test_end",F251&amp;"_"&amp;COUNTIF($F$2:F251,F251)))</f>
        <v/>
      </c>
      <c r="C251" s="1"/>
      <c r="E251" t="str">
        <f t="shared" si="3"/>
        <v/>
      </c>
      <c r="K251" s="3" t="str">
        <f>IFERROR(_xlfn.XLOOKUP(F251,'CTA Actions'!$A$2:$A$7,'CTA Actions'!$B$2:$B$7),"")</f>
        <v/>
      </c>
    </row>
    <row r="252" spans="2:11" x14ac:dyDescent="0.25">
      <c r="B252" t="str">
        <f>IF(F252="","",IF(F252="end","test_end",F252&amp;"_"&amp;COUNTIF($F$2:F252,F252)))</f>
        <v/>
      </c>
      <c r="C252" s="1"/>
      <c r="E252" t="str">
        <f t="shared" si="3"/>
        <v/>
      </c>
      <c r="K252" s="3" t="str">
        <f>IFERROR(_xlfn.XLOOKUP(F252,'CTA Actions'!$A$2:$A$7,'CTA Actions'!$B$2:$B$7),"")</f>
        <v/>
      </c>
    </row>
    <row r="253" spans="2:11" x14ac:dyDescent="0.25">
      <c r="B253" t="str">
        <f>IF(F253="","",IF(F253="end","test_end",F253&amp;"_"&amp;COUNTIF($F$2:F253,F253)))</f>
        <v/>
      </c>
      <c r="C253" s="1"/>
      <c r="E253" t="str">
        <f t="shared" si="3"/>
        <v/>
      </c>
      <c r="K253" s="3" t="str">
        <f>IFERROR(_xlfn.XLOOKUP(F253,'CTA Actions'!$A$2:$A$7,'CTA Actions'!$B$2:$B$7),"")</f>
        <v/>
      </c>
    </row>
    <row r="254" spans="2:11" x14ac:dyDescent="0.25">
      <c r="B254" t="str">
        <f>IF(F254="","",IF(F254="end","test_end",F254&amp;"_"&amp;COUNTIF($F$2:F254,F254)))</f>
        <v/>
      </c>
      <c r="C254" s="1"/>
      <c r="E254" t="str">
        <f t="shared" si="3"/>
        <v/>
      </c>
      <c r="K254" s="3" t="str">
        <f>IFERROR(_xlfn.XLOOKUP(F254,'CTA Actions'!$A$2:$A$7,'CTA Actions'!$B$2:$B$7),"")</f>
        <v/>
      </c>
    </row>
    <row r="255" spans="2:11" x14ac:dyDescent="0.25">
      <c r="B255" t="str">
        <f>IF(F255="","",IF(F255="end","test_end",F255&amp;"_"&amp;COUNTIF($F$2:F255,F255)))</f>
        <v/>
      </c>
      <c r="C255" s="1"/>
      <c r="E255" t="str">
        <f t="shared" si="3"/>
        <v/>
      </c>
      <c r="K255" s="3" t="str">
        <f>IFERROR(_xlfn.XLOOKUP(F255,'CTA Actions'!$A$2:$A$7,'CTA Actions'!$B$2:$B$7),"")</f>
        <v/>
      </c>
    </row>
    <row r="256" spans="2:11" x14ac:dyDescent="0.25">
      <c r="B256" t="str">
        <f>IF(F256="","",IF(F256="end","test_end",F256&amp;"_"&amp;COUNTIF($F$2:F256,F256)))</f>
        <v/>
      </c>
      <c r="C256" s="1"/>
      <c r="E256" t="str">
        <f t="shared" si="3"/>
        <v/>
      </c>
      <c r="K256" s="3" t="str">
        <f>IFERROR(_xlfn.XLOOKUP(F256,'CTA Actions'!$A$2:$A$7,'CTA Actions'!$B$2:$B$7),"")</f>
        <v/>
      </c>
    </row>
    <row r="257" spans="2:11" x14ac:dyDescent="0.25">
      <c r="B257" t="str">
        <f>IF(F257="","",IF(F257="end","test_end",F257&amp;"_"&amp;COUNTIF($F$2:F257,F257)))</f>
        <v/>
      </c>
      <c r="C257" s="1"/>
      <c r="E257" t="str">
        <f t="shared" si="3"/>
        <v/>
      </c>
      <c r="K257" s="3" t="str">
        <f>IFERROR(_xlfn.XLOOKUP(F257,'CTA Actions'!$A$2:$A$7,'CTA Actions'!$B$2:$B$7),"")</f>
        <v/>
      </c>
    </row>
    <row r="258" spans="2:11" x14ac:dyDescent="0.25">
      <c r="B258" t="str">
        <f>IF(F258="","",IF(F258="end","test_end",F258&amp;"_"&amp;COUNTIF($F$2:F258,F258)))</f>
        <v/>
      </c>
      <c r="C258" s="1"/>
      <c r="E258" t="str">
        <f t="shared" si="3"/>
        <v/>
      </c>
      <c r="K258" s="3" t="str">
        <f>IFERROR(_xlfn.XLOOKUP(F258,'CTA Actions'!$A$2:$A$7,'CTA Actions'!$B$2:$B$7),"")</f>
        <v/>
      </c>
    </row>
    <row r="259" spans="2:11" x14ac:dyDescent="0.25">
      <c r="B259" t="str">
        <f>IF(F259="","",IF(F259="end","test_end",F259&amp;"_"&amp;COUNTIF($F$2:F259,F259)))</f>
        <v/>
      </c>
      <c r="C259" s="1"/>
      <c r="E259" t="str">
        <f t="shared" ref="E259:E322" si="4">IF(F259="","",IF(F259="water_draw","water_draw",IF(F259="end","test","cta")))</f>
        <v/>
      </c>
      <c r="K259" s="3" t="str">
        <f>IFERROR(_xlfn.XLOOKUP(F259,'CTA Actions'!$A$2:$A$7,'CTA Actions'!$B$2:$B$7),"")</f>
        <v/>
      </c>
    </row>
    <row r="260" spans="2:11" x14ac:dyDescent="0.25">
      <c r="B260" t="str">
        <f>IF(F260="","",IF(F260="end","test_end",F260&amp;"_"&amp;COUNTIF($F$2:F260,F260)))</f>
        <v/>
      </c>
      <c r="C260" s="1"/>
      <c r="E260" t="str">
        <f t="shared" si="4"/>
        <v/>
      </c>
      <c r="K260" s="3" t="str">
        <f>IFERROR(_xlfn.XLOOKUP(F260,'CTA Actions'!$A$2:$A$7,'CTA Actions'!$B$2:$B$7),"")</f>
        <v/>
      </c>
    </row>
    <row r="261" spans="2:11" x14ac:dyDescent="0.25">
      <c r="B261" t="str">
        <f>IF(F261="","",IF(F261="end","test_end",F261&amp;"_"&amp;COUNTIF($F$2:F261,F261)))</f>
        <v/>
      </c>
      <c r="C261" s="1"/>
      <c r="E261" t="str">
        <f t="shared" si="4"/>
        <v/>
      </c>
      <c r="K261" s="3" t="str">
        <f>IFERROR(_xlfn.XLOOKUP(F261,'CTA Actions'!$A$2:$A$7,'CTA Actions'!$B$2:$B$7),"")</f>
        <v/>
      </c>
    </row>
    <row r="262" spans="2:11" x14ac:dyDescent="0.25">
      <c r="B262" t="str">
        <f>IF(F262="","",IF(F262="end","test_end",F262&amp;"_"&amp;COUNTIF($F$2:F262,F262)))</f>
        <v/>
      </c>
      <c r="C262" s="1"/>
      <c r="E262" t="str">
        <f t="shared" si="4"/>
        <v/>
      </c>
      <c r="K262" s="3" t="str">
        <f>IFERROR(_xlfn.XLOOKUP(F262,'CTA Actions'!$A$2:$A$7,'CTA Actions'!$B$2:$B$7),"")</f>
        <v/>
      </c>
    </row>
    <row r="263" spans="2:11" x14ac:dyDescent="0.25">
      <c r="B263" t="str">
        <f>IF(F263="","",IF(F263="end","test_end",F263&amp;"_"&amp;COUNTIF($F$2:F263,F263)))</f>
        <v/>
      </c>
      <c r="C263" s="1"/>
      <c r="E263" t="str">
        <f t="shared" si="4"/>
        <v/>
      </c>
      <c r="K263" s="3" t="str">
        <f>IFERROR(_xlfn.XLOOKUP(F263,'CTA Actions'!$A$2:$A$7,'CTA Actions'!$B$2:$B$7),"")</f>
        <v/>
      </c>
    </row>
    <row r="264" spans="2:11" x14ac:dyDescent="0.25">
      <c r="B264" t="str">
        <f>IF(F264="","",IF(F264="end","test_end",F264&amp;"_"&amp;COUNTIF($F$2:F264,F264)))</f>
        <v/>
      </c>
      <c r="C264" s="1"/>
      <c r="E264" t="str">
        <f t="shared" si="4"/>
        <v/>
      </c>
      <c r="K264" s="3" t="str">
        <f>IFERROR(_xlfn.XLOOKUP(F264,'CTA Actions'!$A$2:$A$7,'CTA Actions'!$B$2:$B$7),"")</f>
        <v/>
      </c>
    </row>
    <row r="265" spans="2:11" x14ac:dyDescent="0.25">
      <c r="B265" t="str">
        <f>IF(F265="","",IF(F265="end","test_end",F265&amp;"_"&amp;COUNTIF($F$2:F265,F265)))</f>
        <v/>
      </c>
      <c r="C265" s="1"/>
      <c r="E265" t="str">
        <f t="shared" si="4"/>
        <v/>
      </c>
      <c r="K265" s="3" t="str">
        <f>IFERROR(_xlfn.XLOOKUP(F265,'CTA Actions'!$A$2:$A$7,'CTA Actions'!$B$2:$B$7),"")</f>
        <v/>
      </c>
    </row>
    <row r="266" spans="2:11" x14ac:dyDescent="0.25">
      <c r="B266" t="str">
        <f>IF(F266="","",IF(F266="end","test_end",F266&amp;"_"&amp;COUNTIF($F$2:F266,F266)))</f>
        <v/>
      </c>
      <c r="C266" s="1"/>
      <c r="E266" t="str">
        <f t="shared" si="4"/>
        <v/>
      </c>
      <c r="K266" s="3" t="str">
        <f>IFERROR(_xlfn.XLOOKUP(F266,'CTA Actions'!$A$2:$A$7,'CTA Actions'!$B$2:$B$7),"")</f>
        <v/>
      </c>
    </row>
    <row r="267" spans="2:11" x14ac:dyDescent="0.25">
      <c r="B267" t="str">
        <f>IF(F267="","",IF(F267="end","test_end",F267&amp;"_"&amp;COUNTIF($F$2:F267,F267)))</f>
        <v/>
      </c>
      <c r="C267" s="1"/>
      <c r="E267" t="str">
        <f t="shared" si="4"/>
        <v/>
      </c>
      <c r="K267" s="3" t="str">
        <f>IFERROR(_xlfn.XLOOKUP(F267,'CTA Actions'!$A$2:$A$7,'CTA Actions'!$B$2:$B$7),"")</f>
        <v/>
      </c>
    </row>
    <row r="268" spans="2:11" x14ac:dyDescent="0.25">
      <c r="B268" t="str">
        <f>IF(F268="","",IF(F268="end","test_end",F268&amp;"_"&amp;COUNTIF($F$2:F268,F268)))</f>
        <v/>
      </c>
      <c r="C268" s="1"/>
      <c r="E268" t="str">
        <f t="shared" si="4"/>
        <v/>
      </c>
      <c r="K268" s="3" t="str">
        <f>IFERROR(_xlfn.XLOOKUP(F268,'CTA Actions'!$A$2:$A$7,'CTA Actions'!$B$2:$B$7),"")</f>
        <v/>
      </c>
    </row>
    <row r="269" spans="2:11" x14ac:dyDescent="0.25">
      <c r="B269" t="str">
        <f>IF(F269="","",IF(F269="end","test_end",F269&amp;"_"&amp;COUNTIF($F$2:F269,F269)))</f>
        <v/>
      </c>
      <c r="C269" s="1"/>
      <c r="E269" t="str">
        <f t="shared" si="4"/>
        <v/>
      </c>
      <c r="K269" s="3" t="str">
        <f>IFERROR(_xlfn.XLOOKUP(F269,'CTA Actions'!$A$2:$A$7,'CTA Actions'!$B$2:$B$7),"")</f>
        <v/>
      </c>
    </row>
    <row r="270" spans="2:11" x14ac:dyDescent="0.25">
      <c r="B270" t="str">
        <f>IF(F270="","",IF(F270="end","test_end",F270&amp;"_"&amp;COUNTIF($F$2:F270,F270)))</f>
        <v/>
      </c>
      <c r="C270" s="1"/>
      <c r="E270" t="str">
        <f t="shared" si="4"/>
        <v/>
      </c>
      <c r="K270" s="3" t="str">
        <f>IFERROR(_xlfn.XLOOKUP(F270,'CTA Actions'!$A$2:$A$7,'CTA Actions'!$B$2:$B$7),"")</f>
        <v/>
      </c>
    </row>
    <row r="271" spans="2:11" x14ac:dyDescent="0.25">
      <c r="B271" t="str">
        <f>IF(F271="","",IF(F271="end","test_end",F271&amp;"_"&amp;COUNTIF($F$2:F271,F271)))</f>
        <v/>
      </c>
      <c r="C271" s="1"/>
      <c r="E271" t="str">
        <f t="shared" si="4"/>
        <v/>
      </c>
      <c r="K271" s="3" t="str">
        <f>IFERROR(_xlfn.XLOOKUP(F271,'CTA Actions'!$A$2:$A$7,'CTA Actions'!$B$2:$B$7),"")</f>
        <v/>
      </c>
    </row>
    <row r="272" spans="2:11" x14ac:dyDescent="0.25">
      <c r="B272" t="str">
        <f>IF(F272="","",IF(F272="end","test_end",F272&amp;"_"&amp;COUNTIF($F$2:F272,F272)))</f>
        <v/>
      </c>
      <c r="C272" s="1"/>
      <c r="E272" t="str">
        <f t="shared" si="4"/>
        <v/>
      </c>
      <c r="K272" s="3" t="str">
        <f>IFERROR(_xlfn.XLOOKUP(F272,'CTA Actions'!$A$2:$A$7,'CTA Actions'!$B$2:$B$7),"")</f>
        <v/>
      </c>
    </row>
    <row r="273" spans="2:11" x14ac:dyDescent="0.25">
      <c r="B273" t="str">
        <f>IF(F273="","",IF(F273="end","test_end",F273&amp;"_"&amp;COUNTIF($F$2:F273,F273)))</f>
        <v/>
      </c>
      <c r="C273" s="1"/>
      <c r="E273" t="str">
        <f t="shared" si="4"/>
        <v/>
      </c>
      <c r="K273" s="3" t="str">
        <f>IFERROR(_xlfn.XLOOKUP(F273,'CTA Actions'!$A$2:$A$7,'CTA Actions'!$B$2:$B$7),"")</f>
        <v/>
      </c>
    </row>
    <row r="274" spans="2:11" x14ac:dyDescent="0.25">
      <c r="B274" t="str">
        <f>IF(F274="","",IF(F274="end","test_end",F274&amp;"_"&amp;COUNTIF($F$2:F274,F274)))</f>
        <v/>
      </c>
      <c r="C274" s="1"/>
      <c r="E274" t="str">
        <f t="shared" si="4"/>
        <v/>
      </c>
      <c r="K274" s="3" t="str">
        <f>IFERROR(_xlfn.XLOOKUP(F274,'CTA Actions'!$A$2:$A$7,'CTA Actions'!$B$2:$B$7),"")</f>
        <v/>
      </c>
    </row>
    <row r="275" spans="2:11" x14ac:dyDescent="0.25">
      <c r="B275" t="str">
        <f>IF(F275="","",IF(F275="end","test_end",F275&amp;"_"&amp;COUNTIF($F$2:F275,F275)))</f>
        <v/>
      </c>
      <c r="C275" s="1"/>
      <c r="E275" t="str">
        <f t="shared" si="4"/>
        <v/>
      </c>
      <c r="K275" s="3" t="str">
        <f>IFERROR(_xlfn.XLOOKUP(F275,'CTA Actions'!$A$2:$A$7,'CTA Actions'!$B$2:$B$7),"")</f>
        <v/>
      </c>
    </row>
    <row r="276" spans="2:11" x14ac:dyDescent="0.25">
      <c r="B276" t="str">
        <f>IF(F276="","",IF(F276="end","test_end",F276&amp;"_"&amp;COUNTIF($F$2:F276,F276)))</f>
        <v/>
      </c>
      <c r="C276" s="1"/>
      <c r="E276" t="str">
        <f t="shared" si="4"/>
        <v/>
      </c>
      <c r="K276" s="3" t="str">
        <f>IFERROR(_xlfn.XLOOKUP(F276,'CTA Actions'!$A$2:$A$7,'CTA Actions'!$B$2:$B$7),"")</f>
        <v/>
      </c>
    </row>
    <row r="277" spans="2:11" x14ac:dyDescent="0.25">
      <c r="B277" t="str">
        <f>IF(F277="","",IF(F277="end","test_end",F277&amp;"_"&amp;COUNTIF($F$2:F277,F277)))</f>
        <v/>
      </c>
      <c r="C277" s="1"/>
      <c r="E277" t="str">
        <f t="shared" si="4"/>
        <v/>
      </c>
      <c r="K277" s="3" t="str">
        <f>IFERROR(_xlfn.XLOOKUP(F277,'CTA Actions'!$A$2:$A$7,'CTA Actions'!$B$2:$B$7),"")</f>
        <v/>
      </c>
    </row>
    <row r="278" spans="2:11" x14ac:dyDescent="0.25">
      <c r="B278" t="str">
        <f>IF(F278="","",IF(F278="end","test_end",F278&amp;"_"&amp;COUNTIF($F$2:F278,F278)))</f>
        <v/>
      </c>
      <c r="C278" s="1"/>
      <c r="E278" t="str">
        <f t="shared" si="4"/>
        <v/>
      </c>
      <c r="K278" s="3" t="str">
        <f>IFERROR(_xlfn.XLOOKUP(F278,'CTA Actions'!$A$2:$A$7,'CTA Actions'!$B$2:$B$7),"")</f>
        <v/>
      </c>
    </row>
    <row r="279" spans="2:11" x14ac:dyDescent="0.25">
      <c r="B279" t="str">
        <f>IF(F279="","",IF(F279="end","test_end",F279&amp;"_"&amp;COUNTIF($F$2:F279,F279)))</f>
        <v/>
      </c>
      <c r="C279" s="1"/>
      <c r="E279" t="str">
        <f t="shared" si="4"/>
        <v/>
      </c>
      <c r="K279" s="3" t="str">
        <f>IFERROR(_xlfn.XLOOKUP(F279,'CTA Actions'!$A$2:$A$7,'CTA Actions'!$B$2:$B$7),"")</f>
        <v/>
      </c>
    </row>
    <row r="280" spans="2:11" x14ac:dyDescent="0.25">
      <c r="B280" t="str">
        <f>IF(F280="","",IF(F280="end","test_end",F280&amp;"_"&amp;COUNTIF($F$2:F280,F280)))</f>
        <v/>
      </c>
      <c r="C280" s="1"/>
      <c r="E280" t="str">
        <f t="shared" si="4"/>
        <v/>
      </c>
      <c r="K280" s="3" t="str">
        <f>IFERROR(_xlfn.XLOOKUP(F280,'CTA Actions'!$A$2:$A$7,'CTA Actions'!$B$2:$B$7),"")</f>
        <v/>
      </c>
    </row>
    <row r="281" spans="2:11" x14ac:dyDescent="0.25">
      <c r="B281" t="str">
        <f>IF(F281="","",IF(F281="end","test_end",F281&amp;"_"&amp;COUNTIF($F$2:F281,F281)))</f>
        <v/>
      </c>
      <c r="C281" s="1"/>
      <c r="E281" t="str">
        <f t="shared" si="4"/>
        <v/>
      </c>
      <c r="K281" s="3" t="str">
        <f>IFERROR(_xlfn.XLOOKUP(F281,'CTA Actions'!$A$2:$A$7,'CTA Actions'!$B$2:$B$7),"")</f>
        <v/>
      </c>
    </row>
    <row r="282" spans="2:11" x14ac:dyDescent="0.25">
      <c r="B282" t="str">
        <f>IF(F282="","",IF(F282="end","test_end",F282&amp;"_"&amp;COUNTIF($F$2:F282,F282)))</f>
        <v/>
      </c>
      <c r="C282" s="1"/>
      <c r="E282" t="str">
        <f t="shared" si="4"/>
        <v/>
      </c>
      <c r="K282" s="3" t="str">
        <f>IFERROR(_xlfn.XLOOKUP(F282,'CTA Actions'!$A$2:$A$7,'CTA Actions'!$B$2:$B$7),"")</f>
        <v/>
      </c>
    </row>
    <row r="283" spans="2:11" x14ac:dyDescent="0.25">
      <c r="B283" t="str">
        <f>IF(F283="","",IF(F283="end","test_end",F283&amp;"_"&amp;COUNTIF($F$2:F283,F283)))</f>
        <v/>
      </c>
      <c r="C283" s="1"/>
      <c r="E283" t="str">
        <f t="shared" si="4"/>
        <v/>
      </c>
      <c r="K283" s="3" t="str">
        <f>IFERROR(_xlfn.XLOOKUP(F283,'CTA Actions'!$A$2:$A$7,'CTA Actions'!$B$2:$B$7),"")</f>
        <v/>
      </c>
    </row>
    <row r="284" spans="2:11" x14ac:dyDescent="0.25">
      <c r="B284" t="str">
        <f>IF(F284="","",IF(F284="end","test_end",F284&amp;"_"&amp;COUNTIF($F$2:F284,F284)))</f>
        <v/>
      </c>
      <c r="C284" s="1"/>
      <c r="E284" t="str">
        <f t="shared" si="4"/>
        <v/>
      </c>
      <c r="K284" s="3" t="str">
        <f>IFERROR(_xlfn.XLOOKUP(F284,'CTA Actions'!$A$2:$A$7,'CTA Actions'!$B$2:$B$7),"")</f>
        <v/>
      </c>
    </row>
    <row r="285" spans="2:11" x14ac:dyDescent="0.25">
      <c r="B285" t="str">
        <f>IF(F285="","",IF(F285="end","test_end",F285&amp;"_"&amp;COUNTIF($F$2:F285,F285)))</f>
        <v/>
      </c>
      <c r="C285" s="1"/>
      <c r="E285" t="str">
        <f t="shared" si="4"/>
        <v/>
      </c>
      <c r="K285" s="3" t="str">
        <f>IFERROR(_xlfn.XLOOKUP(F285,'CTA Actions'!$A$2:$A$7,'CTA Actions'!$B$2:$B$7),"")</f>
        <v/>
      </c>
    </row>
    <row r="286" spans="2:11" x14ac:dyDescent="0.25">
      <c r="B286" t="str">
        <f>IF(F286="","",IF(F286="end","test_end",F286&amp;"_"&amp;COUNTIF($F$2:F286,F286)))</f>
        <v/>
      </c>
      <c r="C286" s="1"/>
      <c r="E286" t="str">
        <f t="shared" si="4"/>
        <v/>
      </c>
      <c r="K286" s="3" t="str">
        <f>IFERROR(_xlfn.XLOOKUP(F286,'CTA Actions'!$A$2:$A$7,'CTA Actions'!$B$2:$B$7),"")</f>
        <v/>
      </c>
    </row>
    <row r="287" spans="2:11" x14ac:dyDescent="0.25">
      <c r="B287" t="str">
        <f>IF(F287="","",IF(F287="end","test_end",F287&amp;"_"&amp;COUNTIF($F$2:F287,F287)))</f>
        <v/>
      </c>
      <c r="C287" s="1"/>
      <c r="E287" t="str">
        <f t="shared" si="4"/>
        <v/>
      </c>
      <c r="K287" s="3" t="str">
        <f>IFERROR(_xlfn.XLOOKUP(F287,'CTA Actions'!$A$2:$A$7,'CTA Actions'!$B$2:$B$7),"")</f>
        <v/>
      </c>
    </row>
    <row r="288" spans="2:11" x14ac:dyDescent="0.25">
      <c r="B288" t="str">
        <f>IF(F288="","",IF(F288="end","test_end",F288&amp;"_"&amp;COUNTIF($F$2:F288,F288)))</f>
        <v/>
      </c>
      <c r="C288" s="1"/>
      <c r="E288" t="str">
        <f t="shared" si="4"/>
        <v/>
      </c>
      <c r="K288" s="3" t="str">
        <f>IFERROR(_xlfn.XLOOKUP(F288,'CTA Actions'!$A$2:$A$7,'CTA Actions'!$B$2:$B$7),"")</f>
        <v/>
      </c>
    </row>
    <row r="289" spans="2:11" x14ac:dyDescent="0.25">
      <c r="B289" t="str">
        <f>IF(F289="","",IF(F289="end","test_end",F289&amp;"_"&amp;COUNTIF($F$2:F289,F289)))</f>
        <v/>
      </c>
      <c r="C289" s="1"/>
      <c r="E289" t="str">
        <f t="shared" si="4"/>
        <v/>
      </c>
      <c r="K289" s="3" t="str">
        <f>IFERROR(_xlfn.XLOOKUP(F289,'CTA Actions'!$A$2:$A$7,'CTA Actions'!$B$2:$B$7),"")</f>
        <v/>
      </c>
    </row>
    <row r="290" spans="2:11" x14ac:dyDescent="0.25">
      <c r="B290" t="str">
        <f>IF(F290="","",IF(F290="end","test_end",F290&amp;"_"&amp;COUNTIF($F$2:F290,F290)))</f>
        <v/>
      </c>
      <c r="C290" s="1"/>
      <c r="E290" t="str">
        <f t="shared" si="4"/>
        <v/>
      </c>
      <c r="K290" s="3" t="str">
        <f>IFERROR(_xlfn.XLOOKUP(F290,'CTA Actions'!$A$2:$A$7,'CTA Actions'!$B$2:$B$7),"")</f>
        <v/>
      </c>
    </row>
    <row r="291" spans="2:11" x14ac:dyDescent="0.25">
      <c r="B291" t="str">
        <f>IF(F291="","",IF(F291="end","test_end",F291&amp;"_"&amp;COUNTIF($F$2:F291,F291)))</f>
        <v/>
      </c>
      <c r="C291" s="1"/>
      <c r="E291" t="str">
        <f t="shared" si="4"/>
        <v/>
      </c>
      <c r="K291" s="3" t="str">
        <f>IFERROR(_xlfn.XLOOKUP(F291,'CTA Actions'!$A$2:$A$7,'CTA Actions'!$B$2:$B$7),"")</f>
        <v/>
      </c>
    </row>
    <row r="292" spans="2:11" x14ac:dyDescent="0.25">
      <c r="B292" t="str">
        <f>IF(F292="","",IF(F292="end","test_end",F292&amp;"_"&amp;COUNTIF($F$2:F292,F292)))</f>
        <v/>
      </c>
      <c r="C292" s="1"/>
      <c r="E292" t="str">
        <f t="shared" si="4"/>
        <v/>
      </c>
      <c r="K292" s="3" t="str">
        <f>IFERROR(_xlfn.XLOOKUP(F292,'CTA Actions'!$A$2:$A$7,'CTA Actions'!$B$2:$B$7),"")</f>
        <v/>
      </c>
    </row>
    <row r="293" spans="2:11" x14ac:dyDescent="0.25">
      <c r="B293" t="str">
        <f>IF(F293="","",IF(F293="end","test_end",F293&amp;"_"&amp;COUNTIF($F$2:F293,F293)))</f>
        <v/>
      </c>
      <c r="C293" s="1"/>
      <c r="E293" t="str">
        <f t="shared" si="4"/>
        <v/>
      </c>
      <c r="K293" s="3" t="str">
        <f>IFERROR(_xlfn.XLOOKUP(F293,'CTA Actions'!$A$2:$A$7,'CTA Actions'!$B$2:$B$7),"")</f>
        <v/>
      </c>
    </row>
    <row r="294" spans="2:11" x14ac:dyDescent="0.25">
      <c r="B294" t="str">
        <f>IF(F294="","",IF(F294="end","test_end",F294&amp;"_"&amp;COUNTIF($F$2:F294,F294)))</f>
        <v/>
      </c>
      <c r="C294" s="1"/>
      <c r="E294" t="str">
        <f t="shared" si="4"/>
        <v/>
      </c>
      <c r="K294" s="3" t="str">
        <f>IFERROR(_xlfn.XLOOKUP(F294,'CTA Actions'!$A$2:$A$7,'CTA Actions'!$B$2:$B$7),"")</f>
        <v/>
      </c>
    </row>
    <row r="295" spans="2:11" x14ac:dyDescent="0.25">
      <c r="B295" t="str">
        <f>IF(F295="","",IF(F295="end","test_end",F295&amp;"_"&amp;COUNTIF($F$2:F295,F295)))</f>
        <v/>
      </c>
      <c r="C295" s="1"/>
      <c r="E295" t="str">
        <f t="shared" si="4"/>
        <v/>
      </c>
      <c r="K295" s="3" t="str">
        <f>IFERROR(_xlfn.XLOOKUP(F295,'CTA Actions'!$A$2:$A$7,'CTA Actions'!$B$2:$B$7),"")</f>
        <v/>
      </c>
    </row>
    <row r="296" spans="2:11" x14ac:dyDescent="0.25">
      <c r="B296" t="str">
        <f>IF(F296="","",IF(F296="end","test_end",F296&amp;"_"&amp;COUNTIF($F$2:F296,F296)))</f>
        <v/>
      </c>
      <c r="C296" s="1"/>
      <c r="E296" t="str">
        <f t="shared" si="4"/>
        <v/>
      </c>
      <c r="K296" s="3" t="str">
        <f>IFERROR(_xlfn.XLOOKUP(F296,'CTA Actions'!$A$2:$A$7,'CTA Actions'!$B$2:$B$7),"")</f>
        <v/>
      </c>
    </row>
    <row r="297" spans="2:11" x14ac:dyDescent="0.25">
      <c r="B297" t="str">
        <f>IF(F297="","",IF(F297="end","test_end",F297&amp;"_"&amp;COUNTIF($F$2:F297,F297)))</f>
        <v/>
      </c>
      <c r="C297" s="1"/>
      <c r="E297" t="str">
        <f t="shared" si="4"/>
        <v/>
      </c>
      <c r="K297" s="3" t="str">
        <f>IFERROR(_xlfn.XLOOKUP(F297,'CTA Actions'!$A$2:$A$7,'CTA Actions'!$B$2:$B$7),"")</f>
        <v/>
      </c>
    </row>
    <row r="298" spans="2:11" x14ac:dyDescent="0.25">
      <c r="B298" t="str">
        <f>IF(F298="","",IF(F298="end","test_end",F298&amp;"_"&amp;COUNTIF($F$2:F298,F298)))</f>
        <v/>
      </c>
      <c r="C298" s="1"/>
      <c r="E298" t="str">
        <f t="shared" si="4"/>
        <v/>
      </c>
      <c r="K298" s="3" t="str">
        <f>IFERROR(_xlfn.XLOOKUP(F298,'CTA Actions'!$A$2:$A$7,'CTA Actions'!$B$2:$B$7),"")</f>
        <v/>
      </c>
    </row>
    <row r="299" spans="2:11" x14ac:dyDescent="0.25">
      <c r="B299" t="str">
        <f>IF(F299="","",IF(F299="end","test_end",F299&amp;"_"&amp;COUNTIF($F$2:F299,F299)))</f>
        <v/>
      </c>
      <c r="C299" s="1"/>
      <c r="E299" t="str">
        <f t="shared" si="4"/>
        <v/>
      </c>
      <c r="K299" s="3" t="str">
        <f>IFERROR(_xlfn.XLOOKUP(F299,'CTA Actions'!$A$2:$A$7,'CTA Actions'!$B$2:$B$7),"")</f>
        <v/>
      </c>
    </row>
    <row r="300" spans="2:11" x14ac:dyDescent="0.25">
      <c r="B300" t="str">
        <f>IF(F300="","",IF(F300="end","test_end",F300&amp;"_"&amp;COUNTIF($F$2:F300,F300)))</f>
        <v/>
      </c>
      <c r="C300" s="1"/>
      <c r="E300" t="str">
        <f t="shared" si="4"/>
        <v/>
      </c>
      <c r="K300" s="3" t="str">
        <f>IFERROR(_xlfn.XLOOKUP(F300,'CTA Actions'!$A$2:$A$7,'CTA Actions'!$B$2:$B$7),"")</f>
        <v/>
      </c>
    </row>
    <row r="301" spans="2:11" x14ac:dyDescent="0.25">
      <c r="B301" t="str">
        <f>IF(F301="","",IF(F301="end","test_end",F301&amp;"_"&amp;COUNTIF($F$2:F301,F301)))</f>
        <v/>
      </c>
      <c r="C301" s="1"/>
      <c r="E301" t="str">
        <f t="shared" si="4"/>
        <v/>
      </c>
      <c r="K301" s="3" t="str">
        <f>IFERROR(_xlfn.XLOOKUP(F301,'CTA Actions'!$A$2:$A$7,'CTA Actions'!$B$2:$B$7),"")</f>
        <v/>
      </c>
    </row>
    <row r="302" spans="2:11" x14ac:dyDescent="0.25">
      <c r="B302" t="str">
        <f>IF(F302="","",IF(F302="end","test_end",F302&amp;"_"&amp;COUNTIF($F$2:F302,F302)))</f>
        <v/>
      </c>
      <c r="C302" s="1"/>
      <c r="E302" t="str">
        <f t="shared" si="4"/>
        <v/>
      </c>
      <c r="K302" s="3" t="str">
        <f>IFERROR(_xlfn.XLOOKUP(F302,'CTA Actions'!$A$2:$A$7,'CTA Actions'!$B$2:$B$7),"")</f>
        <v/>
      </c>
    </row>
    <row r="303" spans="2:11" x14ac:dyDescent="0.25">
      <c r="B303" t="str">
        <f>IF(F303="","",IF(F303="end","test_end",F303&amp;"_"&amp;COUNTIF($F$2:F303,F303)))</f>
        <v/>
      </c>
      <c r="C303" s="1"/>
      <c r="E303" t="str">
        <f t="shared" si="4"/>
        <v/>
      </c>
      <c r="K303" s="3" t="str">
        <f>IFERROR(_xlfn.XLOOKUP(F303,'CTA Actions'!$A$2:$A$7,'CTA Actions'!$B$2:$B$7),"")</f>
        <v/>
      </c>
    </row>
    <row r="304" spans="2:11" x14ac:dyDescent="0.25">
      <c r="B304" t="str">
        <f>IF(F304="","",IF(F304="end","test_end",F304&amp;"_"&amp;COUNTIF($F$2:F304,F304)))</f>
        <v/>
      </c>
      <c r="C304" s="1"/>
      <c r="E304" t="str">
        <f t="shared" si="4"/>
        <v/>
      </c>
      <c r="K304" s="3" t="str">
        <f>IFERROR(_xlfn.XLOOKUP(F304,'CTA Actions'!$A$2:$A$7,'CTA Actions'!$B$2:$B$7),"")</f>
        <v/>
      </c>
    </row>
    <row r="305" spans="2:11" x14ac:dyDescent="0.25">
      <c r="B305" t="str">
        <f>IF(F305="","",IF(F305="end","test_end",F305&amp;"_"&amp;COUNTIF($F$2:F305,F305)))</f>
        <v/>
      </c>
      <c r="C305" s="1"/>
      <c r="E305" t="str">
        <f t="shared" si="4"/>
        <v/>
      </c>
      <c r="K305" s="3" t="str">
        <f>IFERROR(_xlfn.XLOOKUP(F305,'CTA Actions'!$A$2:$A$7,'CTA Actions'!$B$2:$B$7),"")</f>
        <v/>
      </c>
    </row>
    <row r="306" spans="2:11" x14ac:dyDescent="0.25">
      <c r="B306" t="str">
        <f>IF(F306="","",IF(F306="end","test_end",F306&amp;"_"&amp;COUNTIF($F$2:F306,F306)))</f>
        <v/>
      </c>
      <c r="C306" s="1"/>
      <c r="E306" t="str">
        <f t="shared" si="4"/>
        <v/>
      </c>
      <c r="K306" s="3" t="str">
        <f>IFERROR(_xlfn.XLOOKUP(F306,'CTA Actions'!$A$2:$A$7,'CTA Actions'!$B$2:$B$7),"")</f>
        <v/>
      </c>
    </row>
    <row r="307" spans="2:11" x14ac:dyDescent="0.25">
      <c r="B307" t="str">
        <f>IF(F307="","",IF(F307="end","test_end",F307&amp;"_"&amp;COUNTIF($F$2:F307,F307)))</f>
        <v/>
      </c>
      <c r="C307" s="1"/>
      <c r="E307" t="str">
        <f t="shared" si="4"/>
        <v/>
      </c>
      <c r="K307" s="3" t="str">
        <f>IFERROR(_xlfn.XLOOKUP(F307,'CTA Actions'!$A$2:$A$7,'CTA Actions'!$B$2:$B$7),"")</f>
        <v/>
      </c>
    </row>
    <row r="308" spans="2:11" x14ac:dyDescent="0.25">
      <c r="B308" t="str">
        <f>IF(F308="","",IF(F308="end","test_end",F308&amp;"_"&amp;COUNTIF($F$2:F308,F308)))</f>
        <v/>
      </c>
      <c r="C308" s="1"/>
      <c r="E308" t="str">
        <f t="shared" si="4"/>
        <v/>
      </c>
      <c r="K308" s="3" t="str">
        <f>IFERROR(_xlfn.XLOOKUP(F308,'CTA Actions'!$A$2:$A$7,'CTA Actions'!$B$2:$B$7),"")</f>
        <v/>
      </c>
    </row>
    <row r="309" spans="2:11" x14ac:dyDescent="0.25">
      <c r="B309" t="str">
        <f>IF(F309="","",IF(F309="end","test_end",F309&amp;"_"&amp;COUNTIF($F$2:F309,F309)))</f>
        <v/>
      </c>
      <c r="C309" s="1"/>
      <c r="E309" t="str">
        <f t="shared" si="4"/>
        <v/>
      </c>
      <c r="K309" s="3" t="str">
        <f>IFERROR(_xlfn.XLOOKUP(F309,'CTA Actions'!$A$2:$A$7,'CTA Actions'!$B$2:$B$7),"")</f>
        <v/>
      </c>
    </row>
    <row r="310" spans="2:11" x14ac:dyDescent="0.25">
      <c r="B310" t="str">
        <f>IF(F310="","",IF(F310="end","test_end",F310&amp;"_"&amp;COUNTIF($F$2:F310,F310)))</f>
        <v/>
      </c>
      <c r="C310" s="1"/>
      <c r="E310" t="str">
        <f t="shared" si="4"/>
        <v/>
      </c>
      <c r="K310" s="3" t="str">
        <f>IFERROR(_xlfn.XLOOKUP(F310,'CTA Actions'!$A$2:$A$7,'CTA Actions'!$B$2:$B$7),"")</f>
        <v/>
      </c>
    </row>
    <row r="311" spans="2:11" x14ac:dyDescent="0.25">
      <c r="B311" t="str">
        <f>IF(F311="","",IF(F311="end","test_end",F311&amp;"_"&amp;COUNTIF($F$2:F311,F311)))</f>
        <v/>
      </c>
      <c r="C311" s="1"/>
      <c r="E311" t="str">
        <f t="shared" si="4"/>
        <v/>
      </c>
      <c r="K311" s="3" t="str">
        <f>IFERROR(_xlfn.XLOOKUP(F311,'CTA Actions'!$A$2:$A$7,'CTA Actions'!$B$2:$B$7),"")</f>
        <v/>
      </c>
    </row>
    <row r="312" spans="2:11" x14ac:dyDescent="0.25">
      <c r="B312" t="str">
        <f>IF(F312="","",IF(F312="end","test_end",F312&amp;"_"&amp;COUNTIF($F$2:F312,F312)))</f>
        <v/>
      </c>
      <c r="C312" s="1"/>
      <c r="E312" t="str">
        <f t="shared" si="4"/>
        <v/>
      </c>
      <c r="K312" s="3" t="str">
        <f>IFERROR(_xlfn.XLOOKUP(F312,'CTA Actions'!$A$2:$A$7,'CTA Actions'!$B$2:$B$7),"")</f>
        <v/>
      </c>
    </row>
    <row r="313" spans="2:11" x14ac:dyDescent="0.25">
      <c r="B313" t="str">
        <f>IF(F313="","",IF(F313="end","test_end",F313&amp;"_"&amp;COUNTIF($F$2:F313,F313)))</f>
        <v/>
      </c>
      <c r="C313" s="1"/>
      <c r="E313" t="str">
        <f t="shared" si="4"/>
        <v/>
      </c>
      <c r="K313" s="3" t="str">
        <f>IFERROR(_xlfn.XLOOKUP(F313,'CTA Actions'!$A$2:$A$7,'CTA Actions'!$B$2:$B$7),"")</f>
        <v/>
      </c>
    </row>
    <row r="314" spans="2:11" x14ac:dyDescent="0.25">
      <c r="B314" t="str">
        <f>IF(F314="","",IF(F314="end","test_end",F314&amp;"_"&amp;COUNTIF($F$2:F314,F314)))</f>
        <v/>
      </c>
      <c r="C314" s="1"/>
      <c r="E314" t="str">
        <f t="shared" si="4"/>
        <v/>
      </c>
      <c r="K314" s="3" t="str">
        <f>IFERROR(_xlfn.XLOOKUP(F314,'CTA Actions'!$A$2:$A$7,'CTA Actions'!$B$2:$B$7),"")</f>
        <v/>
      </c>
    </row>
    <row r="315" spans="2:11" x14ac:dyDescent="0.25">
      <c r="B315" t="str">
        <f>IF(F315="","",IF(F315="end","test_end",F315&amp;"_"&amp;COUNTIF($F$2:F315,F315)))</f>
        <v/>
      </c>
      <c r="C315" s="1"/>
      <c r="E315" t="str">
        <f t="shared" si="4"/>
        <v/>
      </c>
      <c r="K315" s="3" t="str">
        <f>IFERROR(_xlfn.XLOOKUP(F315,'CTA Actions'!$A$2:$A$7,'CTA Actions'!$B$2:$B$7),"")</f>
        <v/>
      </c>
    </row>
    <row r="316" spans="2:11" x14ac:dyDescent="0.25">
      <c r="B316" t="str">
        <f>IF(F316="","",IF(F316="end","test_end",F316&amp;"_"&amp;COUNTIF($F$2:F316,F316)))</f>
        <v/>
      </c>
      <c r="C316" s="1"/>
      <c r="E316" t="str">
        <f t="shared" si="4"/>
        <v/>
      </c>
      <c r="K316" s="3" t="str">
        <f>IFERROR(_xlfn.XLOOKUP(F316,'CTA Actions'!$A$2:$A$7,'CTA Actions'!$B$2:$B$7),"")</f>
        <v/>
      </c>
    </row>
    <row r="317" spans="2:11" x14ac:dyDescent="0.25">
      <c r="B317" t="str">
        <f>IF(F317="","",IF(F317="end","test_end",F317&amp;"_"&amp;COUNTIF($F$2:F317,F317)))</f>
        <v/>
      </c>
      <c r="C317" s="1"/>
      <c r="E317" t="str">
        <f t="shared" si="4"/>
        <v/>
      </c>
      <c r="K317" s="3" t="str">
        <f>IFERROR(_xlfn.XLOOKUP(F317,'CTA Actions'!$A$2:$A$7,'CTA Actions'!$B$2:$B$7),"")</f>
        <v/>
      </c>
    </row>
    <row r="318" spans="2:11" x14ac:dyDescent="0.25">
      <c r="B318" t="str">
        <f>IF(F318="","",IF(F318="end","test_end",F318&amp;"_"&amp;COUNTIF($F$2:F318,F318)))</f>
        <v/>
      </c>
      <c r="C318" s="1"/>
      <c r="E318" t="str">
        <f t="shared" si="4"/>
        <v/>
      </c>
      <c r="K318" s="3" t="str">
        <f>IFERROR(_xlfn.XLOOKUP(F318,'CTA Actions'!$A$2:$A$7,'CTA Actions'!$B$2:$B$7),"")</f>
        <v/>
      </c>
    </row>
    <row r="319" spans="2:11" x14ac:dyDescent="0.25">
      <c r="B319" t="str">
        <f>IF(F319="","",IF(F319="end","test_end",F319&amp;"_"&amp;COUNTIF($F$2:F319,F319)))</f>
        <v/>
      </c>
      <c r="C319" s="1"/>
      <c r="E319" t="str">
        <f t="shared" si="4"/>
        <v/>
      </c>
      <c r="K319" s="3" t="str">
        <f>IFERROR(_xlfn.XLOOKUP(F319,'CTA Actions'!$A$2:$A$7,'CTA Actions'!$B$2:$B$7),"")</f>
        <v/>
      </c>
    </row>
    <row r="320" spans="2:11" x14ac:dyDescent="0.25">
      <c r="B320" t="str">
        <f>IF(F320="","",IF(F320="end","test_end",F320&amp;"_"&amp;COUNTIF($F$2:F320,F320)))</f>
        <v/>
      </c>
      <c r="C320" s="1"/>
      <c r="E320" t="str">
        <f t="shared" si="4"/>
        <v/>
      </c>
      <c r="K320" s="3" t="str">
        <f>IFERROR(_xlfn.XLOOKUP(F320,'CTA Actions'!$A$2:$A$7,'CTA Actions'!$B$2:$B$7),"")</f>
        <v/>
      </c>
    </row>
    <row r="321" spans="2:11" x14ac:dyDescent="0.25">
      <c r="B321" t="str">
        <f>IF(F321="","",IF(F321="end","test_end",F321&amp;"_"&amp;COUNTIF($F$2:F321,F321)))</f>
        <v/>
      </c>
      <c r="C321" s="1"/>
      <c r="E321" t="str">
        <f t="shared" si="4"/>
        <v/>
      </c>
      <c r="K321" s="3" t="str">
        <f>IFERROR(_xlfn.XLOOKUP(F321,'CTA Actions'!$A$2:$A$7,'CTA Actions'!$B$2:$B$7),"")</f>
        <v/>
      </c>
    </row>
    <row r="322" spans="2:11" x14ac:dyDescent="0.25">
      <c r="B322" t="str">
        <f>IF(F322="","",IF(F322="end","test_end",F322&amp;"_"&amp;COUNTIF($F$2:F322,F322)))</f>
        <v/>
      </c>
      <c r="C322" s="1"/>
      <c r="E322" t="str">
        <f t="shared" si="4"/>
        <v/>
      </c>
      <c r="K322" s="3" t="str">
        <f>IFERROR(_xlfn.XLOOKUP(F322,'CTA Actions'!$A$2:$A$7,'CTA Actions'!$B$2:$B$7),"")</f>
        <v/>
      </c>
    </row>
    <row r="323" spans="2:11" x14ac:dyDescent="0.25">
      <c r="B323" t="str">
        <f>IF(F323="","",IF(F323="end","test_end",F323&amp;"_"&amp;COUNTIF($F$2:F323,F323)))</f>
        <v/>
      </c>
      <c r="C323" s="1"/>
      <c r="E323" t="str">
        <f t="shared" ref="E323:E336" si="5">IF(F323="","",IF(F323="water_draw","water_draw",IF(F323="end","test","cta")))</f>
        <v/>
      </c>
      <c r="K323" s="3" t="str">
        <f>IFERROR(_xlfn.XLOOKUP(F323,'CTA Actions'!$A$2:$A$7,'CTA Actions'!$B$2:$B$7),"")</f>
        <v/>
      </c>
    </row>
    <row r="324" spans="2:11" x14ac:dyDescent="0.25">
      <c r="B324" t="str">
        <f>IF(F324="","",IF(F324="end","test_end",F324&amp;"_"&amp;COUNTIF($F$2:F324,F324)))</f>
        <v/>
      </c>
      <c r="C324" s="1"/>
      <c r="E324" t="str">
        <f t="shared" si="5"/>
        <v/>
      </c>
      <c r="K324" s="3" t="str">
        <f>IFERROR(_xlfn.XLOOKUP(F324,'CTA Actions'!$A$2:$A$7,'CTA Actions'!$B$2:$B$7),"")</f>
        <v/>
      </c>
    </row>
    <row r="325" spans="2:11" x14ac:dyDescent="0.25">
      <c r="B325" t="str">
        <f>IF(F325="","",IF(F325="end","test_end",F325&amp;"_"&amp;COUNTIF($F$2:F325,F325)))</f>
        <v/>
      </c>
      <c r="C325" s="1"/>
      <c r="E325" t="str">
        <f t="shared" si="5"/>
        <v/>
      </c>
      <c r="K325" s="3" t="str">
        <f>IFERROR(_xlfn.XLOOKUP(F325,'CTA Actions'!$A$2:$A$7,'CTA Actions'!$B$2:$B$7),"")</f>
        <v/>
      </c>
    </row>
    <row r="326" spans="2:11" x14ac:dyDescent="0.25">
      <c r="B326" t="str">
        <f>IF(F326="","",IF(F326="end","test_end",F326&amp;"_"&amp;COUNTIF($F$2:F326,F326)))</f>
        <v/>
      </c>
      <c r="C326" s="1"/>
      <c r="E326" t="str">
        <f t="shared" si="5"/>
        <v/>
      </c>
      <c r="K326" s="3" t="str">
        <f>IFERROR(_xlfn.XLOOKUP(F326,'CTA Actions'!$A$2:$A$7,'CTA Actions'!$B$2:$B$7),"")</f>
        <v/>
      </c>
    </row>
    <row r="327" spans="2:11" x14ac:dyDescent="0.25">
      <c r="B327" t="str">
        <f>IF(F327="","",IF(F327="end","test_end",F327&amp;"_"&amp;COUNTIF($F$2:F327,F327)))</f>
        <v/>
      </c>
      <c r="C327" s="1"/>
      <c r="E327" t="str">
        <f t="shared" si="5"/>
        <v/>
      </c>
      <c r="K327" s="3" t="str">
        <f>IFERROR(_xlfn.XLOOKUP(F327,'CTA Actions'!$A$2:$A$7,'CTA Actions'!$B$2:$B$7),"")</f>
        <v/>
      </c>
    </row>
    <row r="328" spans="2:11" x14ac:dyDescent="0.25">
      <c r="B328" t="str">
        <f>IF(F328="","",IF(F328="end","test_end",F328&amp;"_"&amp;COUNTIF($F$2:F328,F328)))</f>
        <v/>
      </c>
      <c r="C328" s="1"/>
      <c r="E328" t="str">
        <f t="shared" si="5"/>
        <v/>
      </c>
      <c r="K328" s="3" t="str">
        <f>IFERROR(_xlfn.XLOOKUP(F328,'CTA Actions'!$A$2:$A$7,'CTA Actions'!$B$2:$B$7),"")</f>
        <v/>
      </c>
    </row>
    <row r="329" spans="2:11" x14ac:dyDescent="0.25">
      <c r="B329" t="str">
        <f>IF(F329="","",IF(F329="end","test_end",F329&amp;"_"&amp;COUNTIF($F$2:F329,F329)))</f>
        <v/>
      </c>
      <c r="C329" s="1"/>
      <c r="E329" t="str">
        <f t="shared" si="5"/>
        <v/>
      </c>
      <c r="K329" s="3" t="str">
        <f>IFERROR(_xlfn.XLOOKUP(F329,'CTA Actions'!$A$2:$A$7,'CTA Actions'!$B$2:$B$7),"")</f>
        <v/>
      </c>
    </row>
    <row r="330" spans="2:11" x14ac:dyDescent="0.25">
      <c r="B330" t="str">
        <f>IF(F330="","",IF(F330="end","test_end",F330&amp;"_"&amp;COUNTIF($F$2:F330,F330)))</f>
        <v/>
      </c>
      <c r="C330" s="1"/>
      <c r="E330" t="str">
        <f t="shared" si="5"/>
        <v/>
      </c>
      <c r="K330" s="3" t="str">
        <f>IFERROR(_xlfn.XLOOKUP(F330,'CTA Actions'!$A$2:$A$7,'CTA Actions'!$B$2:$B$7),"")</f>
        <v/>
      </c>
    </row>
    <row r="331" spans="2:11" x14ac:dyDescent="0.25">
      <c r="B331" t="str">
        <f>IF(F331="","",IF(F331="end","test_end",F331&amp;"_"&amp;COUNTIF($F$2:F331,F331)))</f>
        <v/>
      </c>
      <c r="C331" s="1"/>
      <c r="E331" t="str">
        <f t="shared" si="5"/>
        <v/>
      </c>
      <c r="K331" s="3" t="str">
        <f>IFERROR(_xlfn.XLOOKUP(F331,'CTA Actions'!$A$2:$A$7,'CTA Actions'!$B$2:$B$7),"")</f>
        <v/>
      </c>
    </row>
    <row r="332" spans="2:11" x14ac:dyDescent="0.25">
      <c r="B332" t="str">
        <f>IF(F332="","",IF(F332="end","test_end",F332&amp;"_"&amp;COUNTIF($F$2:F332,F332)))</f>
        <v/>
      </c>
      <c r="C332" s="1"/>
      <c r="E332" t="str">
        <f t="shared" si="5"/>
        <v/>
      </c>
      <c r="K332" s="3" t="str">
        <f>IFERROR(_xlfn.XLOOKUP(F332,'CTA Actions'!$A$2:$A$7,'CTA Actions'!$B$2:$B$7),"")</f>
        <v/>
      </c>
    </row>
    <row r="333" spans="2:11" x14ac:dyDescent="0.25">
      <c r="B333" t="str">
        <f>IF(F333="","",IF(F333="end","test_end",F333&amp;"_"&amp;COUNTIF($F$2:F333,F333)))</f>
        <v/>
      </c>
      <c r="C333" s="1"/>
      <c r="E333" t="str">
        <f t="shared" si="5"/>
        <v/>
      </c>
      <c r="K333" s="3" t="str">
        <f>IFERROR(_xlfn.XLOOKUP(F333,'CTA Actions'!$A$2:$A$7,'CTA Actions'!$B$2:$B$7),"")</f>
        <v/>
      </c>
    </row>
    <row r="334" spans="2:11" x14ac:dyDescent="0.25">
      <c r="B334" t="str">
        <f>IF(F334="","",IF(F334="end","test_end",F334&amp;"_"&amp;COUNTIF($F$2:F334,F334)))</f>
        <v/>
      </c>
      <c r="C334" s="1"/>
      <c r="E334" t="str">
        <f t="shared" si="5"/>
        <v/>
      </c>
      <c r="K334" s="3" t="str">
        <f>IFERROR(_xlfn.XLOOKUP(F334,'CTA Actions'!$A$2:$A$7,'CTA Actions'!$B$2:$B$7),"")</f>
        <v/>
      </c>
    </row>
    <row r="335" spans="2:11" x14ac:dyDescent="0.25">
      <c r="B335" t="str">
        <f>IF(F335="","",IF(F335="end","test_end",F335&amp;"_"&amp;COUNTIF($F$2:F335,F335)))</f>
        <v/>
      </c>
      <c r="C335" s="1"/>
      <c r="E335" t="str">
        <f t="shared" si="5"/>
        <v/>
      </c>
      <c r="K335" s="3" t="str">
        <f>IFERROR(_xlfn.XLOOKUP(F335,'CTA Actions'!$A$2:$A$7,'CTA Actions'!$B$2:$B$7),"")</f>
        <v/>
      </c>
    </row>
    <row r="336" spans="2:11" x14ac:dyDescent="0.25">
      <c r="B336" t="str">
        <f>IF(F336="","",IF(F336="end","test_end",F336&amp;"_"&amp;COUNTIF($F$2:F336,F336)))</f>
        <v/>
      </c>
      <c r="E336" t="str">
        <f t="shared" si="5"/>
        <v/>
      </c>
      <c r="K336" s="3" t="str">
        <f>IFERROR(_xlfn.XLOOKUP(F336,'CTA Actions'!$A$2:$A$7,'CTA Actions'!$B$2:$B$7),"")</f>
        <v/>
      </c>
    </row>
  </sheetData>
  <dataValidations xWindow="899" yWindow="387" count="8">
    <dataValidation type="list" allowBlank="1" showInputMessage="1" showErrorMessage="1" errorTitle="Invalid schedule value" error="Enter a value allowed for this schedule field." sqref="F2:F336" xr:uid="{8634ECE3-E7CB-4581-95B1-4AB9629A7C09}">
      <formula1>"advanced_load_up,critical_peak,end,grid_emergency,load_up,run_normal,shed,water_draw"</formula1>
    </dataValidation>
    <dataValidation type="list" allowBlank="1" showInputMessage="1" showErrorMessage="1" errorTitle="Invalid schedule value" error="Enter a value allowed for this schedule field." sqref="A2:A336" xr:uid="{E0671094-3DD5-4A23-8CBB-36D7B7920378}">
      <formula1>"TRUE,FALSE"</formula1>
    </dataValidation>
    <dataValidation type="time" allowBlank="1" showInputMessage="1" showErrorMessage="1" errorTitle="Invalid schedule value" error="Enter a value allowed for this schedule field." sqref="C2:C336" xr:uid="{1EA2D99F-C90F-47EA-8729-5DEE65930036}">
      <formula1>0</formula1>
      <formula2>0.999988425925926</formula2>
    </dataValidation>
    <dataValidation type="custom" allowBlank="1" showInputMessage="1" showErrorMessage="1" errorTitle="Invalid schedule value" error="Enter a value allowed for this schedule field." sqref="G2:G336" xr:uid="{69CA1598-A20D-437E-B534-11984CDDCBAD}">
      <formula1>OR(G2="",G2="unknown",AND(ISNUMBER(G2),G2=INT(G2),G2&gt;=1,G2&lt;=2150))</formula1>
    </dataValidation>
    <dataValidation type="whole" allowBlank="1" showInputMessage="1" showErrorMessage="1" errorTitle="Invalid schedule value" error="Enter a value allowed for this schedule field." sqref="H2:H336" xr:uid="{0FE5B298-D466-4E77-830D-BB973D00AC04}">
      <formula1>1</formula1>
      <formula2>65535</formula2>
    </dataValidation>
    <dataValidation type="whole" allowBlank="1" showInputMessage="1" showErrorMessage="1" errorTitle="Invalid schedule value" error="Enter a value allowed for this schedule field." sqref="I2:I336" xr:uid="{7CFCC028-8FBD-4567-BA66-7F982207A40A}">
      <formula1>1</formula1>
      <formula2>65534</formula2>
    </dataValidation>
    <dataValidation type="list" allowBlank="1" showInputMessage="1" showErrorMessage="1" errorTitle="Invalid schedule value" error="Enter a value allowed for this schedule field." sqref="J2:J336" xr:uid="{0FDB75A0-F204-4B6B-95C6-E2C83E3CB0FD}">
      <formula1>"1_wh,10_wh,100_wh,1000_wh"</formula1>
    </dataValidation>
    <dataValidation type="decimal" operator="greaterThan" allowBlank="1" showInputMessage="1" showErrorMessage="1" errorTitle="Invalid schedule value" error="Enter a value allowed for this schedule field." sqref="L2:M336" xr:uid="{00BA97BD-A228-4E59-B00A-3EEDBE56BDD0}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CECD-447B-4FE0-8182-3F2437AE58BE}">
  <dimension ref="A1:B7"/>
  <sheetViews>
    <sheetView workbookViewId="0">
      <selection activeCell="B17" sqref="B17"/>
    </sheetView>
  </sheetViews>
  <sheetFormatPr defaultRowHeight="15" x14ac:dyDescent="0.25"/>
  <cols>
    <col min="1" max="1" width="17.85546875" bestFit="1" customWidth="1"/>
    <col min="2" max="2" width="27.5703125" bestFit="1" customWidth="1"/>
  </cols>
  <sheetData>
    <row r="1" spans="1:2" x14ac:dyDescent="0.25">
      <c r="A1" s="2" t="s">
        <v>25</v>
      </c>
      <c r="B1" s="2" t="s">
        <v>9</v>
      </c>
    </row>
    <row r="2" spans="1:2" x14ac:dyDescent="0.25">
      <c r="A2" t="s">
        <v>26</v>
      </c>
      <c r="B2" t="s">
        <v>15</v>
      </c>
    </row>
    <row r="3" spans="1:2" x14ac:dyDescent="0.25">
      <c r="A3" t="s">
        <v>27</v>
      </c>
      <c r="B3" t="s">
        <v>30</v>
      </c>
    </row>
    <row r="4" spans="1:2" x14ac:dyDescent="0.25">
      <c r="A4" t="s">
        <v>28</v>
      </c>
      <c r="B4" t="s">
        <v>30</v>
      </c>
    </row>
    <row r="5" spans="1:2" x14ac:dyDescent="0.25">
      <c r="A5" t="s">
        <v>14</v>
      </c>
      <c r="B5" t="s">
        <v>15</v>
      </c>
    </row>
    <row r="6" spans="1:2" x14ac:dyDescent="0.25">
      <c r="A6" t="s">
        <v>18</v>
      </c>
      <c r="B6" t="s">
        <v>31</v>
      </c>
    </row>
    <row r="7" spans="1:2" x14ac:dyDescent="0.25">
      <c r="A7" t="s">
        <v>29</v>
      </c>
      <c r="B7" t="s">
        <v>30</v>
      </c>
    </row>
  </sheetData>
  <dataValidations count="1">
    <dataValidation type="list" allowBlank="1" showInputMessage="1" showErrorMessage="1" sqref="A2:A8" xr:uid="{2D6820BC-7275-4A0F-9D61-560B96A99030}">
      <formula1>"advanced_load_up,critical_peak,end,grid_emergency,load_up,run_normal,shed,water_draw"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02AD-8064-4C5A-81C9-7B2D7968DAAD}">
  <dimension ref="A1"/>
  <sheetViews>
    <sheetView workbookViewId="0">
      <selection activeCell="Q16" sqref="Q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conformance_test_schedule_main</vt:lpstr>
      <vt:lpstr>CTA Actions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Dinsmore</cp:lastModifiedBy>
  <dcterms:created xsi:type="dcterms:W3CDTF">2026-07-23T17:55:37Z</dcterms:created>
  <dcterms:modified xsi:type="dcterms:W3CDTF">2026-07-23T21:52:12Z</dcterms:modified>
</cp:coreProperties>
</file>